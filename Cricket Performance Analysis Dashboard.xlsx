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10" windowWidth="18820" windowHeight="6810" tabRatio="644" firstSheet="7" activeTab="11"/>
  </bookViews>
  <sheets>
    <sheet name="raw_data" sheetId="1" r:id="rId1"/>
    <sheet name="Pivot_Analysis" sheetId="2" r:id="rId2"/>
    <sheet name="Top 10 Run Scorers" sheetId="4" r:id="rId3"/>
    <sheet name="Top 10 Batting Average" sheetId="5" r:id="rId4"/>
    <sheet name="Top 10 Highest Individual Score" sheetId="7" r:id="rId5"/>
    <sheet name="Top 10 Century Makers" sheetId="8" r:id="rId6"/>
    <sheet name="Top 10 Half-Century Makers" sheetId="9" r:id="rId7"/>
    <sheet name="Most Ducks" sheetId="10" r:id="rId8"/>
    <sheet name="Matches vs Runs" sheetId="11" r:id="rId9"/>
    <sheet name="100s vs 50s Analysis" sheetId="12" r:id="rId10"/>
    <sheet name="KPI" sheetId="14" r:id="rId11"/>
    <sheet name="DashBoard" sheetId="13" r:id="rId12"/>
  </sheets>
  <definedNames>
    <definedName name="Slicer_Player">#N/A</definedName>
  </definedNames>
  <calcPr calcId="144525"/>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1" i="14" l="1"/>
  <c r="D9" i="14"/>
  <c r="D7" i="14"/>
  <c r="D5" i="14"/>
  <c r="D3" i="14"/>
  <c r="Q2" i="1"/>
  <c r="D13" i="14"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P2" i="1"/>
  <c r="O2" i="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2" i="1"/>
</calcChain>
</file>

<file path=xl/sharedStrings.xml><?xml version="1.0" encoding="utf-8"?>
<sst xmlns="http://schemas.openxmlformats.org/spreadsheetml/2006/main" count="446" uniqueCount="244">
  <si>
    <t>Player</t>
  </si>
  <si>
    <t>Span</t>
  </si>
  <si>
    <t>Mat</t>
  </si>
  <si>
    <t>Inns</t>
  </si>
  <si>
    <t>NO</t>
  </si>
  <si>
    <t>Runs</t>
  </si>
  <si>
    <t>HS</t>
  </si>
  <si>
    <t>Ave</t>
  </si>
  <si>
    <t>SR Tendulkar (INDIA)</t>
  </si>
  <si>
    <t>1989-2013</t>
  </si>
  <si>
    <t>248*</t>
  </si>
  <si>
    <t>RT Ponting (AUS)</t>
  </si>
  <si>
    <t>1995-2012</t>
  </si>
  <si>
    <t>JH Kallis (ICC/SA)</t>
  </si>
  <si>
    <t>1995-2013</t>
  </si>
  <si>
    <t>R Dravid (ICC/INDIA)</t>
  </si>
  <si>
    <t>1996-2012</t>
  </si>
  <si>
    <t>AN Cook (ENG)</t>
  </si>
  <si>
    <t>2006-2018</t>
  </si>
  <si>
    <t>KC Sangakkara (SL)</t>
  </si>
  <si>
    <t>2000-2015</t>
  </si>
  <si>
    <t>BC Lara (ICC/WI)</t>
  </si>
  <si>
    <t>1990-2006</t>
  </si>
  <si>
    <t>400*</t>
  </si>
  <si>
    <t>S Chanderpaul (WI)</t>
  </si>
  <si>
    <t>1994-2015</t>
  </si>
  <si>
    <t>203*</t>
  </si>
  <si>
    <t>DPMD Jayawardene (SL)</t>
  </si>
  <si>
    <t>1997-2014</t>
  </si>
  <si>
    <t>AR Border (AUS)</t>
  </si>
  <si>
    <t>1978-1994</t>
  </si>
  <si>
    <t>SR Waugh (AUS)</t>
  </si>
  <si>
    <t>1985-2004</t>
  </si>
  <si>
    <t>SM Gavaskar (INDIA)</t>
  </si>
  <si>
    <t>1971-1987</t>
  </si>
  <si>
    <t>236*</t>
  </si>
  <si>
    <t>Younis Khan (PAK)</t>
  </si>
  <si>
    <t>2000-2017</t>
  </si>
  <si>
    <t>JE Root (ENG)</t>
  </si>
  <si>
    <t>2012-2021</t>
  </si>
  <si>
    <t>111*</t>
  </si>
  <si>
    <t>HM Amla (SA)</t>
  </si>
  <si>
    <t>2004-2019</t>
  </si>
  <si>
    <t>311*</t>
  </si>
  <si>
    <t>GC Smith (ICC/SA)</t>
  </si>
  <si>
    <t>2002-2014</t>
  </si>
  <si>
    <t>GA Gooch (ENG)</t>
  </si>
  <si>
    <t>1975-1995</t>
  </si>
  <si>
    <t>Javed Miandad (PAK)</t>
  </si>
  <si>
    <t>1976-1993</t>
  </si>
  <si>
    <t>280*</t>
  </si>
  <si>
    <t>Inzamam-ul-Haq (ICC/PAK)</t>
  </si>
  <si>
    <t>1992-2007</t>
  </si>
  <si>
    <t>VVS Laxman (INDIA)</t>
  </si>
  <si>
    <t>AB de Villiers (SA)</t>
  </si>
  <si>
    <t>2004-2018</t>
  </si>
  <si>
    <t>278*</t>
  </si>
  <si>
    <t>MJ Clarke (AUS)</t>
  </si>
  <si>
    <t>2004-2015</t>
  </si>
  <si>
    <t>329*</t>
  </si>
  <si>
    <t>ML Hayden (AUS)</t>
  </si>
  <si>
    <t>1994-2009</t>
  </si>
  <si>
    <t>V Sehwag (ICC/INDIA)</t>
  </si>
  <si>
    <t>2001-2013</t>
  </si>
  <si>
    <t>IVA Richards (WI)</t>
  </si>
  <si>
    <t>1974-1991</t>
  </si>
  <si>
    <t>AJ Stewart (ENG)</t>
  </si>
  <si>
    <t>1990-2003</t>
  </si>
  <si>
    <t>DI Gower (ENG)</t>
  </si>
  <si>
    <t>1978-1992</t>
  </si>
  <si>
    <t>KP Pietersen (ENG)</t>
  </si>
  <si>
    <t>2005-2014</t>
  </si>
  <si>
    <t>G Boycott (ENG)</t>
  </si>
  <si>
    <t>1964-1982</t>
  </si>
  <si>
    <t>246*</t>
  </si>
  <si>
    <t>GS Sobers (WI)</t>
  </si>
  <si>
    <t>1954-1974</t>
  </si>
  <si>
    <t>365*</t>
  </si>
  <si>
    <t>ME Waugh (AUS)</t>
  </si>
  <si>
    <t>1991-2002</t>
  </si>
  <si>
    <t>153*</t>
  </si>
  <si>
    <t>V Kohli (INDIA)</t>
  </si>
  <si>
    <t>2011-2021</t>
  </si>
  <si>
    <t>254*</t>
  </si>
  <si>
    <t>MA Atherton (ENG)</t>
  </si>
  <si>
    <t>1989-2001</t>
  </si>
  <si>
    <t>185*</t>
  </si>
  <si>
    <t>IR Bell (ENG)</t>
  </si>
  <si>
    <t>JL Langer (AUS)</t>
  </si>
  <si>
    <t>1993-2007</t>
  </si>
  <si>
    <t>SPD Smith (AUS)</t>
  </si>
  <si>
    <t>2010-2021</t>
  </si>
  <si>
    <t>79*</t>
  </si>
  <si>
    <t>MC Cowdrey (ENG)</t>
  </si>
  <si>
    <t>1954-1975</t>
  </si>
  <si>
    <t>LRPL Taylor (NZ)</t>
  </si>
  <si>
    <t>2007-2021</t>
  </si>
  <si>
    <t>CG Greenidge (WI)</t>
  </si>
  <si>
    <t>Mohammad Yousuf (PAK)</t>
  </si>
  <si>
    <t>1998-2010</t>
  </si>
  <si>
    <t>MA Taylor (AUS)</t>
  </si>
  <si>
    <t>1989-1999</t>
  </si>
  <si>
    <t>334*</t>
  </si>
  <si>
    <t>CH Lloyd (WI)</t>
  </si>
  <si>
    <t>1966-1985</t>
  </si>
  <si>
    <t>242*</t>
  </si>
  <si>
    <t>DA Warner (AUS)</t>
  </si>
  <si>
    <t>88*</t>
  </si>
  <si>
    <t>335*</t>
  </si>
  <si>
    <t>DL Haynes (WI)</t>
  </si>
  <si>
    <t>DC Boon (AUS)</t>
  </si>
  <si>
    <t>1984-1996</t>
  </si>
  <si>
    <t>G Kirsten (SA)</t>
  </si>
  <si>
    <t>1993-2004</t>
  </si>
  <si>
    <t>KS Williamson (NZ)</t>
  </si>
  <si>
    <t>WR Hammond (ENG)</t>
  </si>
  <si>
    <t>1927-1947</t>
  </si>
  <si>
    <t>336*</t>
  </si>
  <si>
    <t>CH Gayle (WI)</t>
  </si>
  <si>
    <t>2000-2014</t>
  </si>
  <si>
    <t>SC Ganguly (INDIA)</t>
  </si>
  <si>
    <t>1996-2008</t>
  </si>
  <si>
    <t>SP Fleming (NZ)</t>
  </si>
  <si>
    <t>1994-2008</t>
  </si>
  <si>
    <t>274*</t>
  </si>
  <si>
    <t>GS Chappell (AUS)</t>
  </si>
  <si>
    <t>1970-1984</t>
  </si>
  <si>
    <t>247*</t>
  </si>
  <si>
    <t>AJ Strauss (ENG)</t>
  </si>
  <si>
    <t>2004-2012</t>
  </si>
  <si>
    <t>DG Bradman (AUS)</t>
  </si>
  <si>
    <t>1928-1948</t>
  </si>
  <si>
    <t>ST Jayasuriya (SL)</t>
  </si>
  <si>
    <t>1991-2007</t>
  </si>
  <si>
    <t>L Hutton (ENG)</t>
  </si>
  <si>
    <t>1937-1955</t>
  </si>
  <si>
    <t>DB Vengsarkar (INDIA)</t>
  </si>
  <si>
    <t>1976-1992</t>
  </si>
  <si>
    <t>KF Barrington (ENG)</t>
  </si>
  <si>
    <t>1955-1968</t>
  </si>
  <si>
    <t>GP Thorpe (ENG)</t>
  </si>
  <si>
    <t>1993-2005</t>
  </si>
  <si>
    <t>200*</t>
  </si>
  <si>
    <t>Azhar Ali (PAK)</t>
  </si>
  <si>
    <t>302*</t>
  </si>
  <si>
    <t>CA Pujara (INDIA)</t>
  </si>
  <si>
    <t>206*</t>
  </si>
  <si>
    <t>BB McCullum (NZ)</t>
  </si>
  <si>
    <t>2004-2016</t>
  </si>
  <si>
    <t>PA de Silva (SL)</t>
  </si>
  <si>
    <t>1984-2002</t>
  </si>
  <si>
    <t>AD Mathews (SL)</t>
  </si>
  <si>
    <t>2009-2021</t>
  </si>
  <si>
    <t>MEK Hussey (AUS)</t>
  </si>
  <si>
    <t>2005-2013</t>
  </si>
  <si>
    <t>RB Kanhai (WI)</t>
  </si>
  <si>
    <t>1957-1974</t>
  </si>
  <si>
    <t>M Azharuddin (INDIA)</t>
  </si>
  <si>
    <t>1984-2000</t>
  </si>
  <si>
    <t>HH Gibbs (SA)</t>
  </si>
  <si>
    <t>RN Harvey (AUS)</t>
  </si>
  <si>
    <t>1948-1963</t>
  </si>
  <si>
    <t>GR Viswanath (INDIA)</t>
  </si>
  <si>
    <t>1969-1983</t>
  </si>
  <si>
    <t>RB Richardson (WI)</t>
  </si>
  <si>
    <t>1983-1995</t>
  </si>
  <si>
    <t>RR Sarwan (WI)</t>
  </si>
  <si>
    <t>2000-2011</t>
  </si>
  <si>
    <t>ME Trescothick (ENG)</t>
  </si>
  <si>
    <t>2000-2006</t>
  </si>
  <si>
    <t>DCS Compton (ENG)</t>
  </si>
  <si>
    <t>1937-1957</t>
  </si>
  <si>
    <t>Saleem Malik (PAK)</t>
  </si>
  <si>
    <t>1982-1999</t>
  </si>
  <si>
    <t>N Hussain (ENG)</t>
  </si>
  <si>
    <t>1990-2004</t>
  </si>
  <si>
    <t>CL Hooper (WI)</t>
  </si>
  <si>
    <t>1987-2002</t>
  </si>
  <si>
    <t>MP Vaughan (ENG)</t>
  </si>
  <si>
    <t>1999-2008</t>
  </si>
  <si>
    <t>AC Gilchrist (AUS)</t>
  </si>
  <si>
    <t>204*</t>
  </si>
  <si>
    <t>MV Boucher (ICC/SA)</t>
  </si>
  <si>
    <t>1997-2012</t>
  </si>
  <si>
    <t>MS Atapattu (SL)</t>
  </si>
  <si>
    <t>1990-2007</t>
  </si>
  <si>
    <t>TM Dilshan (SL)</t>
  </si>
  <si>
    <t>1999-2013</t>
  </si>
  <si>
    <t>TT Samaraweera (SL)</t>
  </si>
  <si>
    <t>FDM Karunaratne (SL)</t>
  </si>
  <si>
    <t>MD Crowe (NZ)</t>
  </si>
  <si>
    <t>1982-1995</t>
  </si>
  <si>
    <t>JB Hobbs (ENG)</t>
  </si>
  <si>
    <t>1908-1930</t>
  </si>
  <si>
    <t>KD Walters (AUS)</t>
  </si>
  <si>
    <t>1965-1981</t>
  </si>
  <si>
    <t>IM Chappell (AUS)</t>
  </si>
  <si>
    <t>1964-1980</t>
  </si>
  <si>
    <t>JG Wright (NZ)</t>
  </si>
  <si>
    <t>1978-1993</t>
  </si>
  <si>
    <t>MJ Slater (AUS)</t>
  </si>
  <si>
    <t>1993-2001</t>
  </si>
  <si>
    <t>N Kapil Dev (INDIA)</t>
  </si>
  <si>
    <t>WM Lawry (AUS)</t>
  </si>
  <si>
    <t>1961-1971</t>
  </si>
  <si>
    <t>Misbah-ul-Haq (PAK)</t>
  </si>
  <si>
    <t>2001-2017</t>
  </si>
  <si>
    <t>161*</t>
  </si>
  <si>
    <t>IT Botham (ENG)</t>
  </si>
  <si>
    <t>1977-1992</t>
  </si>
  <si>
    <t>JH Edrich (ENG)</t>
  </si>
  <si>
    <t>1963-1976</t>
  </si>
  <si>
    <t>310*</t>
  </si>
  <si>
    <t>A Ranatunga (SL)</t>
  </si>
  <si>
    <t>1982-2000</t>
  </si>
  <si>
    <t>135*</t>
  </si>
  <si>
    <t>Zaheer Abbas (PAK)</t>
  </si>
  <si>
    <t>1969-1985</t>
  </si>
  <si>
    <t>100</t>
  </si>
  <si>
    <t>50</t>
  </si>
  <si>
    <t>0</t>
  </si>
  <si>
    <t>Not Out %</t>
  </si>
  <si>
    <t>Runs Per Innings</t>
  </si>
  <si>
    <t>50+ Scores</t>
  </si>
  <si>
    <t>Century Contribution %</t>
  </si>
  <si>
    <t>Sr.No</t>
  </si>
  <si>
    <t>Row Labels</t>
  </si>
  <si>
    <t>Grand Total</t>
  </si>
  <si>
    <t>Sum of Mat</t>
  </si>
  <si>
    <t>Sum of Runs</t>
  </si>
  <si>
    <t>Average of Ave</t>
  </si>
  <si>
    <t>HS Numeric</t>
  </si>
  <si>
    <t>Sum of HS Numeric</t>
  </si>
  <si>
    <t>Sum of 100</t>
  </si>
  <si>
    <t>Sum of 50</t>
  </si>
  <si>
    <t>Sum of 0</t>
  </si>
  <si>
    <t>CRICKET PLAYER PERFORMANCE DASHBOARD</t>
  </si>
  <si>
    <t>KPI</t>
  </si>
  <si>
    <t xml:space="preserve">Total Players </t>
  </si>
  <si>
    <t>Total Matches</t>
  </si>
  <si>
    <t>Total Runs</t>
  </si>
  <si>
    <t>Total Centuries</t>
  </si>
  <si>
    <t>Total Half Centuries</t>
  </si>
  <si>
    <t>Highest Score</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</si>
</sst>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Mangal"/>
      <family val="2"/>
      <scheme val="minor"/>
    </font>
    <font>
      <sz val="11"/>
      <color theme="1"/>
      <name val="Mangal"/>
      <family val="2"/>
      <scheme val="minor"/>
    </font>
    <font>
      <b/>
      <sz val="18"/>
      <color theme="3"/>
      <name val="Mangal"/>
      <family val="2"/>
      <scheme val="major"/>
    </font>
    <font>
      <b/>
      <sz val="15"/>
      <color theme="3"/>
      <name val="Mangal"/>
      <family val="2"/>
      <scheme val="minor"/>
    </font>
    <font>
      <b/>
      <sz val="13"/>
      <color theme="3"/>
      <name val="Mangal"/>
      <family val="2"/>
      <scheme val="minor"/>
    </font>
    <font>
      <b/>
      <sz val="11"/>
      <color theme="3"/>
      <name val="Mangal"/>
      <family val="2"/>
      <scheme val="minor"/>
    </font>
    <font>
      <sz val="11"/>
      <color rgb="FF006100"/>
      <name val="Mangal"/>
      <family val="2"/>
      <scheme val="minor"/>
    </font>
    <font>
      <sz val="11"/>
      <color rgb="FF9C0006"/>
      <name val="Mangal"/>
      <family val="2"/>
      <scheme val="minor"/>
    </font>
    <font>
      <sz val="11"/>
      <color rgb="FF9C6500"/>
      <name val="Mangal"/>
      <family val="2"/>
      <scheme val="minor"/>
    </font>
    <font>
      <sz val="11"/>
      <color rgb="FF3F3F76"/>
      <name val="Mangal"/>
      <family val="2"/>
      <scheme val="minor"/>
    </font>
    <font>
      <b/>
      <sz val="11"/>
      <color rgb="FF3F3F3F"/>
      <name val="Mangal"/>
      <family val="2"/>
      <scheme val="minor"/>
    </font>
    <font>
      <b/>
      <sz val="11"/>
      <color rgb="FFFA7D00"/>
      <name val="Mangal"/>
      <family val="2"/>
      <scheme val="minor"/>
    </font>
    <font>
      <sz val="11"/>
      <color rgb="FFFA7D00"/>
      <name val="Mangal"/>
      <family val="2"/>
      <scheme val="minor"/>
    </font>
    <font>
      <b/>
      <sz val="11"/>
      <color theme="0"/>
      <name val="Mangal"/>
      <family val="2"/>
      <scheme val="minor"/>
    </font>
    <font>
      <sz val="11"/>
      <color rgb="FFFF0000"/>
      <name val="Mangal"/>
      <family val="2"/>
      <scheme val="minor"/>
    </font>
    <font>
      <i/>
      <sz val="11"/>
      <color rgb="FF7F7F7F"/>
      <name val="Mangal"/>
      <family val="2"/>
      <scheme val="minor"/>
    </font>
    <font>
      <b/>
      <sz val="11"/>
      <color theme="1"/>
      <name val="Mangal"/>
      <family val="2"/>
      <scheme val="minor"/>
    </font>
    <font>
      <sz val="11"/>
      <color theme="0"/>
      <name val="Mangal"/>
      <family val="2"/>
      <scheme val="minor"/>
    </font>
    <font>
      <sz val="20"/>
      <color theme="1"/>
      <name val="Mangal"/>
      <family val="2"/>
      <scheme val="minor"/>
    </font>
    <font>
      <b/>
      <sz val="20"/>
      <color theme="1"/>
      <name val="Mangal"/>
      <family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2"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18"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numFmt numFmtId="0" formatCode="General"/>
    </dxf>
    <dxf>
      <numFmt numFmtId="14" formatCode="0.00%"/>
    </dxf>
    <dxf>
      <numFmt numFmtId="0" formatCode="General"/>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Run Scorers!PivotTable2</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'Top 10 Run Scorers'!$B$3</c:f>
              <c:strCache>
                <c:ptCount val="1"/>
                <c:pt idx="0">
                  <c:v>Total</c:v>
                </c:pt>
              </c:strCache>
            </c:strRef>
          </c:tx>
          <c:invertIfNegative val="0"/>
          <c:cat>
            <c:strRef>
              <c:f>'Top 10 Run Scorers'!$A$4:$A$14</c:f>
              <c:strCache>
                <c:ptCount val="10"/>
                <c:pt idx="0">
                  <c:v>SR Tendulkar (INDIA)</c:v>
                </c:pt>
                <c:pt idx="1">
                  <c:v>S Chanderpaul (WI)</c:v>
                </c:pt>
                <c:pt idx="2">
                  <c:v>RT Ponting (AUS)</c:v>
                </c:pt>
                <c:pt idx="3">
                  <c:v>R Dravid (ICC/INDIA)</c:v>
                </c:pt>
                <c:pt idx="4">
                  <c:v>KC Sangakkara (SL)</c:v>
                </c:pt>
                <c:pt idx="5">
                  <c:v>JH Kallis (ICC/SA)</c:v>
                </c:pt>
                <c:pt idx="6">
                  <c:v>DPMD Jayawardene (SL)</c:v>
                </c:pt>
                <c:pt idx="7">
                  <c:v>BC Lara (ICC/WI)</c:v>
                </c:pt>
                <c:pt idx="8">
                  <c:v>AR Border (AUS)</c:v>
                </c:pt>
                <c:pt idx="9">
                  <c:v>AN Cook (ENG)</c:v>
                </c:pt>
              </c:strCache>
            </c:strRef>
          </c:cat>
          <c:val>
            <c:numRef>
              <c:f>'Top 10 Run Scorers'!$B$4:$B$14</c:f>
              <c:numCache>
                <c:formatCode>General</c:formatCode>
                <c:ptCount val="10"/>
                <c:pt idx="0">
                  <c:v>15921</c:v>
                </c:pt>
                <c:pt idx="1">
                  <c:v>11867</c:v>
                </c:pt>
                <c:pt idx="2">
                  <c:v>13378</c:v>
                </c:pt>
                <c:pt idx="3">
                  <c:v>13288</c:v>
                </c:pt>
                <c:pt idx="4">
                  <c:v>12400</c:v>
                </c:pt>
                <c:pt idx="5">
                  <c:v>13289</c:v>
                </c:pt>
                <c:pt idx="6">
                  <c:v>11814</c:v>
                </c:pt>
                <c:pt idx="7">
                  <c:v>11953</c:v>
                </c:pt>
                <c:pt idx="8">
                  <c:v>11174</c:v>
                </c:pt>
                <c:pt idx="9">
                  <c:v>12472</c:v>
                </c:pt>
              </c:numCache>
            </c:numRef>
          </c:val>
        </c:ser>
        <c:dLbls>
          <c:showLegendKey val="0"/>
          <c:showVal val="0"/>
          <c:showCatName val="0"/>
          <c:showSerName val="0"/>
          <c:showPercent val="0"/>
          <c:showBubbleSize val="0"/>
        </c:dLbls>
        <c:gapWidth val="150"/>
        <c:axId val="202109696"/>
        <c:axId val="202111232"/>
      </c:barChart>
      <c:catAx>
        <c:axId val="202109696"/>
        <c:scaling>
          <c:orientation val="minMax"/>
        </c:scaling>
        <c:delete val="0"/>
        <c:axPos val="l"/>
        <c:majorTickMark val="out"/>
        <c:minorTickMark val="none"/>
        <c:tickLblPos val="nextTo"/>
        <c:crossAx val="202111232"/>
        <c:crosses val="autoZero"/>
        <c:auto val="1"/>
        <c:lblAlgn val="ctr"/>
        <c:lblOffset val="100"/>
        <c:noMultiLvlLbl val="0"/>
      </c:catAx>
      <c:valAx>
        <c:axId val="202111232"/>
        <c:scaling>
          <c:orientation val="minMax"/>
        </c:scaling>
        <c:delete val="0"/>
        <c:axPos val="b"/>
        <c:majorGridlines/>
        <c:numFmt formatCode="General" sourceLinked="1"/>
        <c:majorTickMark val="out"/>
        <c:minorTickMark val="none"/>
        <c:tickLblPos val="nextTo"/>
        <c:crossAx val="2021096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Batting Average!PivotTable3</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'Top 10 Batting Average'!$B$3</c:f>
              <c:strCache>
                <c:ptCount val="1"/>
                <c:pt idx="0">
                  <c:v>Total</c:v>
                </c:pt>
              </c:strCache>
            </c:strRef>
          </c:tx>
          <c:invertIfNegative val="0"/>
          <c:cat>
            <c:strRef>
              <c:f>'Top 10 Batting Average'!$A$4:$A$14</c:f>
              <c:strCache>
                <c:ptCount val="10"/>
                <c:pt idx="0">
                  <c:v>DG Bradman (AUS)</c:v>
                </c:pt>
                <c:pt idx="1">
                  <c:v>SPD Smith (AUS)</c:v>
                </c:pt>
                <c:pt idx="2">
                  <c:v>KF Barrington (ENG)</c:v>
                </c:pt>
                <c:pt idx="3">
                  <c:v>WR Hammond (ENG)</c:v>
                </c:pt>
                <c:pt idx="4">
                  <c:v>GS Sobers (WI)</c:v>
                </c:pt>
                <c:pt idx="5">
                  <c:v>KC Sangakkara (SL)</c:v>
                </c:pt>
                <c:pt idx="6">
                  <c:v>JB Hobbs (ENG)</c:v>
                </c:pt>
                <c:pt idx="7">
                  <c:v>L Hutton (ENG)</c:v>
                </c:pt>
                <c:pt idx="8">
                  <c:v>JH Kallis (ICC/SA)</c:v>
                </c:pt>
                <c:pt idx="9">
                  <c:v>GS Chappell (AUS)</c:v>
                </c:pt>
              </c:strCache>
            </c:strRef>
          </c:cat>
          <c:val>
            <c:numRef>
              <c:f>'Top 10 Batting Average'!$B$4:$B$14</c:f>
              <c:numCache>
                <c:formatCode>General</c:formatCode>
                <c:ptCount val="10"/>
                <c:pt idx="0">
                  <c:v>99.94</c:v>
                </c:pt>
                <c:pt idx="1">
                  <c:v>61.99</c:v>
                </c:pt>
                <c:pt idx="2">
                  <c:v>58.67</c:v>
                </c:pt>
                <c:pt idx="3">
                  <c:v>58.45</c:v>
                </c:pt>
                <c:pt idx="4">
                  <c:v>57.78</c:v>
                </c:pt>
                <c:pt idx="5">
                  <c:v>57.4</c:v>
                </c:pt>
                <c:pt idx="6">
                  <c:v>56.94</c:v>
                </c:pt>
                <c:pt idx="7">
                  <c:v>56.67</c:v>
                </c:pt>
                <c:pt idx="8">
                  <c:v>55.37</c:v>
                </c:pt>
                <c:pt idx="9">
                  <c:v>53.86</c:v>
                </c:pt>
              </c:numCache>
            </c:numRef>
          </c:val>
        </c:ser>
        <c:dLbls>
          <c:showLegendKey val="0"/>
          <c:showVal val="0"/>
          <c:showCatName val="0"/>
          <c:showSerName val="0"/>
          <c:showPercent val="0"/>
          <c:showBubbleSize val="0"/>
        </c:dLbls>
        <c:gapWidth val="150"/>
        <c:axId val="203111040"/>
        <c:axId val="203112832"/>
      </c:barChart>
      <c:catAx>
        <c:axId val="203111040"/>
        <c:scaling>
          <c:orientation val="minMax"/>
        </c:scaling>
        <c:delete val="0"/>
        <c:axPos val="l"/>
        <c:majorTickMark val="out"/>
        <c:minorTickMark val="none"/>
        <c:tickLblPos val="nextTo"/>
        <c:crossAx val="203112832"/>
        <c:crosses val="autoZero"/>
        <c:auto val="1"/>
        <c:lblAlgn val="ctr"/>
        <c:lblOffset val="100"/>
        <c:noMultiLvlLbl val="0"/>
      </c:catAx>
      <c:valAx>
        <c:axId val="203112832"/>
        <c:scaling>
          <c:orientation val="minMax"/>
        </c:scaling>
        <c:delete val="0"/>
        <c:axPos val="b"/>
        <c:majorGridlines/>
        <c:numFmt formatCode="General" sourceLinked="1"/>
        <c:majorTickMark val="out"/>
        <c:minorTickMark val="none"/>
        <c:tickLblPos val="nextTo"/>
        <c:crossAx val="2031110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Highest Individual Score!PivotTable5</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'Top 10 Highest Individual Score'!$B$3</c:f>
              <c:strCache>
                <c:ptCount val="1"/>
                <c:pt idx="0">
                  <c:v>Total</c:v>
                </c:pt>
              </c:strCache>
            </c:strRef>
          </c:tx>
          <c:invertIfNegative val="0"/>
          <c:cat>
            <c:strRef>
              <c:f>'Top 10 Highest Individual Score'!$A$4:$A$14</c:f>
              <c:strCache>
                <c:ptCount val="10"/>
                <c:pt idx="0">
                  <c:v>BC Lara (ICC/WI)</c:v>
                </c:pt>
                <c:pt idx="1">
                  <c:v>ML Hayden (AUS)</c:v>
                </c:pt>
                <c:pt idx="2">
                  <c:v>DPMD Jayawardene (SL)</c:v>
                </c:pt>
                <c:pt idx="3">
                  <c:v>GS Sobers (WI)</c:v>
                </c:pt>
                <c:pt idx="4">
                  <c:v>L Hutton (ENG)</c:v>
                </c:pt>
                <c:pt idx="5">
                  <c:v>ST Jayasuriya (SL)</c:v>
                </c:pt>
                <c:pt idx="6">
                  <c:v>WR Hammond (ENG)</c:v>
                </c:pt>
                <c:pt idx="7">
                  <c:v>DA Warner (AUS)</c:v>
                </c:pt>
                <c:pt idx="8">
                  <c:v>DG Bradman (AUS)</c:v>
                </c:pt>
                <c:pt idx="9">
                  <c:v>MA Taylor (AUS)</c:v>
                </c:pt>
              </c:strCache>
            </c:strRef>
          </c:cat>
          <c:val>
            <c:numRef>
              <c:f>'Top 10 Highest Individual Score'!$B$4:$B$14</c:f>
              <c:numCache>
                <c:formatCode>General</c:formatCode>
                <c:ptCount val="10"/>
                <c:pt idx="0">
                  <c:v>400</c:v>
                </c:pt>
                <c:pt idx="1">
                  <c:v>380</c:v>
                </c:pt>
                <c:pt idx="2">
                  <c:v>374</c:v>
                </c:pt>
                <c:pt idx="3">
                  <c:v>365</c:v>
                </c:pt>
                <c:pt idx="4">
                  <c:v>364</c:v>
                </c:pt>
                <c:pt idx="5">
                  <c:v>340</c:v>
                </c:pt>
                <c:pt idx="6">
                  <c:v>336</c:v>
                </c:pt>
                <c:pt idx="7">
                  <c:v>335</c:v>
                </c:pt>
                <c:pt idx="8">
                  <c:v>334</c:v>
                </c:pt>
                <c:pt idx="9">
                  <c:v>334</c:v>
                </c:pt>
              </c:numCache>
            </c:numRef>
          </c:val>
        </c:ser>
        <c:dLbls>
          <c:showLegendKey val="0"/>
          <c:showVal val="0"/>
          <c:showCatName val="0"/>
          <c:showSerName val="0"/>
          <c:showPercent val="0"/>
          <c:showBubbleSize val="0"/>
        </c:dLbls>
        <c:gapWidth val="150"/>
        <c:axId val="203043584"/>
        <c:axId val="203045120"/>
      </c:barChart>
      <c:catAx>
        <c:axId val="203043584"/>
        <c:scaling>
          <c:orientation val="minMax"/>
        </c:scaling>
        <c:delete val="0"/>
        <c:axPos val="l"/>
        <c:majorTickMark val="out"/>
        <c:minorTickMark val="none"/>
        <c:tickLblPos val="nextTo"/>
        <c:crossAx val="203045120"/>
        <c:crosses val="autoZero"/>
        <c:auto val="1"/>
        <c:lblAlgn val="ctr"/>
        <c:lblOffset val="100"/>
        <c:noMultiLvlLbl val="0"/>
      </c:catAx>
      <c:valAx>
        <c:axId val="203045120"/>
        <c:scaling>
          <c:orientation val="minMax"/>
        </c:scaling>
        <c:delete val="0"/>
        <c:axPos val="b"/>
        <c:majorGridlines/>
        <c:numFmt formatCode="General" sourceLinked="1"/>
        <c:majorTickMark val="out"/>
        <c:minorTickMark val="none"/>
        <c:tickLblPos val="nextTo"/>
        <c:crossAx val="2030435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Century Makers!PivotTable6</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'Top 10 Century Makers'!$B$1</c:f>
              <c:strCache>
                <c:ptCount val="1"/>
                <c:pt idx="0">
                  <c:v>Total</c:v>
                </c:pt>
              </c:strCache>
            </c:strRef>
          </c:tx>
          <c:invertIfNegative val="0"/>
          <c:cat>
            <c:strRef>
              <c:f>'Top 10 Century Makers'!$A$2:$A$12</c:f>
              <c:strCache>
                <c:ptCount val="10"/>
                <c:pt idx="0">
                  <c:v>SR Tendulkar (INDIA)</c:v>
                </c:pt>
                <c:pt idx="1">
                  <c:v>JH Kallis (ICC/SA)</c:v>
                </c:pt>
                <c:pt idx="2">
                  <c:v>RT Ponting (AUS)</c:v>
                </c:pt>
                <c:pt idx="3">
                  <c:v>KC Sangakkara (SL)</c:v>
                </c:pt>
                <c:pt idx="4">
                  <c:v>R Dravid (ICC/INDIA)</c:v>
                </c:pt>
                <c:pt idx="5">
                  <c:v>Younis Khan (PAK)</c:v>
                </c:pt>
                <c:pt idx="6">
                  <c:v>BC Lara (ICC/WI)</c:v>
                </c:pt>
                <c:pt idx="7">
                  <c:v>SM Gavaskar (INDIA)</c:v>
                </c:pt>
                <c:pt idx="8">
                  <c:v>DPMD Jayawardene (SL)</c:v>
                </c:pt>
                <c:pt idx="9">
                  <c:v>AN Cook (ENG)</c:v>
                </c:pt>
              </c:strCache>
            </c:strRef>
          </c:cat>
          <c:val>
            <c:numRef>
              <c:f>'Top 10 Century Makers'!$B$2:$B$12</c:f>
              <c:numCache>
                <c:formatCode>General</c:formatCode>
                <c:ptCount val="10"/>
                <c:pt idx="0">
                  <c:v>51</c:v>
                </c:pt>
                <c:pt idx="1">
                  <c:v>45</c:v>
                </c:pt>
                <c:pt idx="2">
                  <c:v>41</c:v>
                </c:pt>
                <c:pt idx="3">
                  <c:v>38</c:v>
                </c:pt>
                <c:pt idx="4">
                  <c:v>36</c:v>
                </c:pt>
                <c:pt idx="5">
                  <c:v>34</c:v>
                </c:pt>
                <c:pt idx="6">
                  <c:v>34</c:v>
                </c:pt>
                <c:pt idx="7">
                  <c:v>34</c:v>
                </c:pt>
                <c:pt idx="8">
                  <c:v>34</c:v>
                </c:pt>
                <c:pt idx="9">
                  <c:v>33</c:v>
                </c:pt>
              </c:numCache>
            </c:numRef>
          </c:val>
        </c:ser>
        <c:dLbls>
          <c:showLegendKey val="0"/>
          <c:showVal val="0"/>
          <c:showCatName val="0"/>
          <c:showSerName val="0"/>
          <c:showPercent val="0"/>
          <c:showBubbleSize val="0"/>
        </c:dLbls>
        <c:gapWidth val="150"/>
        <c:axId val="202947200"/>
        <c:axId val="202953088"/>
      </c:barChart>
      <c:catAx>
        <c:axId val="202947200"/>
        <c:scaling>
          <c:orientation val="minMax"/>
        </c:scaling>
        <c:delete val="0"/>
        <c:axPos val="b"/>
        <c:majorTickMark val="out"/>
        <c:minorTickMark val="none"/>
        <c:tickLblPos val="nextTo"/>
        <c:crossAx val="202953088"/>
        <c:crosses val="autoZero"/>
        <c:auto val="1"/>
        <c:lblAlgn val="ctr"/>
        <c:lblOffset val="100"/>
        <c:noMultiLvlLbl val="0"/>
      </c:catAx>
      <c:valAx>
        <c:axId val="202953088"/>
        <c:scaling>
          <c:orientation val="minMax"/>
        </c:scaling>
        <c:delete val="0"/>
        <c:axPos val="l"/>
        <c:majorGridlines/>
        <c:numFmt formatCode="General" sourceLinked="1"/>
        <c:majorTickMark val="out"/>
        <c:minorTickMark val="none"/>
        <c:tickLblPos val="nextTo"/>
        <c:crossAx val="2029472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Half-Century Makers!PivotTable7</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'Top 10 Half-Century Makers'!$B$1</c:f>
              <c:strCache>
                <c:ptCount val="1"/>
                <c:pt idx="0">
                  <c:v>Total</c:v>
                </c:pt>
              </c:strCache>
            </c:strRef>
          </c:tx>
          <c:invertIfNegative val="0"/>
          <c:cat>
            <c:strRef>
              <c:f>'Top 10 Half-Century Makers'!$A$2:$A$12</c:f>
              <c:strCache>
                <c:ptCount val="10"/>
                <c:pt idx="0">
                  <c:v>SR Tendulkar (INDIA)</c:v>
                </c:pt>
                <c:pt idx="1">
                  <c:v>S Chanderpaul (WI)</c:v>
                </c:pt>
                <c:pt idx="2">
                  <c:v>AR Border (AUS)</c:v>
                </c:pt>
                <c:pt idx="3">
                  <c:v>R Dravid (ICC/INDIA)</c:v>
                </c:pt>
                <c:pt idx="4">
                  <c:v>RT Ponting (AUS)</c:v>
                </c:pt>
                <c:pt idx="5">
                  <c:v>JH Kallis (ICC/SA)</c:v>
                </c:pt>
                <c:pt idx="6">
                  <c:v>AN Cook (ENG)</c:v>
                </c:pt>
                <c:pt idx="7">
                  <c:v>VVS Laxman (INDIA)</c:v>
                </c:pt>
                <c:pt idx="8">
                  <c:v>KC Sangakkara (SL)</c:v>
                </c:pt>
                <c:pt idx="9">
                  <c:v>JE Root (ENG)</c:v>
                </c:pt>
              </c:strCache>
            </c:strRef>
          </c:cat>
          <c:val>
            <c:numRef>
              <c:f>'Top 10 Half-Century Makers'!$B$2:$B$12</c:f>
              <c:numCache>
                <c:formatCode>General</c:formatCode>
                <c:ptCount val="10"/>
                <c:pt idx="0">
                  <c:v>68</c:v>
                </c:pt>
                <c:pt idx="1">
                  <c:v>66</c:v>
                </c:pt>
                <c:pt idx="2">
                  <c:v>63</c:v>
                </c:pt>
                <c:pt idx="3">
                  <c:v>63</c:v>
                </c:pt>
                <c:pt idx="4">
                  <c:v>62</c:v>
                </c:pt>
                <c:pt idx="5">
                  <c:v>58</c:v>
                </c:pt>
                <c:pt idx="6">
                  <c:v>57</c:v>
                </c:pt>
                <c:pt idx="7">
                  <c:v>56</c:v>
                </c:pt>
                <c:pt idx="8">
                  <c:v>52</c:v>
                </c:pt>
                <c:pt idx="9">
                  <c:v>51</c:v>
                </c:pt>
              </c:numCache>
            </c:numRef>
          </c:val>
        </c:ser>
        <c:dLbls>
          <c:showLegendKey val="0"/>
          <c:showVal val="0"/>
          <c:showCatName val="0"/>
          <c:showSerName val="0"/>
          <c:showPercent val="0"/>
          <c:showBubbleSize val="0"/>
        </c:dLbls>
        <c:gapWidth val="150"/>
        <c:axId val="203012352"/>
        <c:axId val="203014144"/>
      </c:barChart>
      <c:catAx>
        <c:axId val="203012352"/>
        <c:scaling>
          <c:orientation val="minMax"/>
        </c:scaling>
        <c:delete val="0"/>
        <c:axPos val="b"/>
        <c:majorTickMark val="out"/>
        <c:minorTickMark val="none"/>
        <c:tickLblPos val="nextTo"/>
        <c:crossAx val="203014144"/>
        <c:crosses val="autoZero"/>
        <c:auto val="1"/>
        <c:lblAlgn val="ctr"/>
        <c:lblOffset val="100"/>
        <c:noMultiLvlLbl val="0"/>
      </c:catAx>
      <c:valAx>
        <c:axId val="203014144"/>
        <c:scaling>
          <c:orientation val="minMax"/>
        </c:scaling>
        <c:delete val="0"/>
        <c:axPos val="l"/>
        <c:majorGridlines/>
        <c:numFmt formatCode="General" sourceLinked="1"/>
        <c:majorTickMark val="out"/>
        <c:minorTickMark val="none"/>
        <c:tickLblPos val="nextTo"/>
        <c:crossAx val="203012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Dashboard.xlsx]Most Ducks!PivotTable8</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'Most Ducks'!$B$1</c:f>
              <c:strCache>
                <c:ptCount val="1"/>
                <c:pt idx="0">
                  <c:v>Total</c:v>
                </c:pt>
              </c:strCache>
            </c:strRef>
          </c:tx>
          <c:invertIfNegative val="0"/>
          <c:cat>
            <c:strRef>
              <c:f>'Most Ducks'!$A$2:$A$16</c:f>
              <c:strCache>
                <c:ptCount val="14"/>
                <c:pt idx="0">
                  <c:v>SR Waugh (AUS)</c:v>
                </c:pt>
                <c:pt idx="1">
                  <c:v>MS Atapattu (SL)</c:v>
                </c:pt>
                <c:pt idx="2">
                  <c:v>MA Atherton (ENG)</c:v>
                </c:pt>
                <c:pt idx="3">
                  <c:v>Younis Khan (PAK)</c:v>
                </c:pt>
                <c:pt idx="4">
                  <c:v>ME Waugh (AUS)</c:v>
                </c:pt>
                <c:pt idx="5">
                  <c:v>Azhar Ali (PAK)</c:v>
                </c:pt>
                <c:pt idx="6">
                  <c:v>BC Lara (ICC/WI)</c:v>
                </c:pt>
                <c:pt idx="7">
                  <c:v>RT Ponting (AUS)</c:v>
                </c:pt>
                <c:pt idx="8">
                  <c:v>MV Boucher (ICC/SA)</c:v>
                </c:pt>
                <c:pt idx="9">
                  <c:v>V Sehwag (ICC/INDIA)</c:v>
                </c:pt>
                <c:pt idx="10">
                  <c:v>JH Kallis (ICC/SA)</c:v>
                </c:pt>
                <c:pt idx="11">
                  <c:v>N Kapil Dev (INDIA)</c:v>
                </c:pt>
                <c:pt idx="12">
                  <c:v>SP Fleming (NZ)</c:v>
                </c:pt>
                <c:pt idx="13">
                  <c:v>DC Boon (AUS)</c:v>
                </c:pt>
              </c:strCache>
            </c:strRef>
          </c:cat>
          <c:val>
            <c:numRef>
              <c:f>'Most Ducks'!$B$2:$B$16</c:f>
              <c:numCache>
                <c:formatCode>General</c:formatCode>
                <c:ptCount val="14"/>
                <c:pt idx="0">
                  <c:v>22</c:v>
                </c:pt>
                <c:pt idx="1">
                  <c:v>22</c:v>
                </c:pt>
                <c:pt idx="2">
                  <c:v>20</c:v>
                </c:pt>
                <c:pt idx="3">
                  <c:v>19</c:v>
                </c:pt>
                <c:pt idx="4">
                  <c:v>19</c:v>
                </c:pt>
                <c:pt idx="5">
                  <c:v>18</c:v>
                </c:pt>
                <c:pt idx="6">
                  <c:v>17</c:v>
                </c:pt>
                <c:pt idx="7">
                  <c:v>17</c:v>
                </c:pt>
                <c:pt idx="8">
                  <c:v>17</c:v>
                </c:pt>
                <c:pt idx="9">
                  <c:v>16</c:v>
                </c:pt>
                <c:pt idx="10">
                  <c:v>16</c:v>
                </c:pt>
                <c:pt idx="11">
                  <c:v>16</c:v>
                </c:pt>
                <c:pt idx="12">
                  <c:v>16</c:v>
                </c:pt>
                <c:pt idx="13">
                  <c:v>16</c:v>
                </c:pt>
              </c:numCache>
            </c:numRef>
          </c:val>
        </c:ser>
        <c:dLbls>
          <c:showLegendKey val="0"/>
          <c:showVal val="0"/>
          <c:showCatName val="0"/>
          <c:showSerName val="0"/>
          <c:showPercent val="0"/>
          <c:showBubbleSize val="0"/>
        </c:dLbls>
        <c:gapWidth val="150"/>
        <c:axId val="203493760"/>
        <c:axId val="203495296"/>
      </c:barChart>
      <c:catAx>
        <c:axId val="203493760"/>
        <c:scaling>
          <c:orientation val="minMax"/>
        </c:scaling>
        <c:delete val="0"/>
        <c:axPos val="l"/>
        <c:majorTickMark val="out"/>
        <c:minorTickMark val="none"/>
        <c:tickLblPos val="nextTo"/>
        <c:crossAx val="203495296"/>
        <c:crosses val="autoZero"/>
        <c:auto val="1"/>
        <c:lblAlgn val="ctr"/>
        <c:lblOffset val="100"/>
        <c:noMultiLvlLbl val="0"/>
      </c:catAx>
      <c:valAx>
        <c:axId val="203495296"/>
        <c:scaling>
          <c:orientation val="minMax"/>
        </c:scaling>
        <c:delete val="0"/>
        <c:axPos val="b"/>
        <c:majorGridlines/>
        <c:numFmt formatCode="General" sourceLinked="1"/>
        <c:majorTickMark val="out"/>
        <c:minorTickMark val="none"/>
        <c:tickLblPos val="nextTo"/>
        <c:crossAx val="2034937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Dashboard.xlsx]Matches vs Runs!PivotTable9</c:name>
    <c:fmtId val="0"/>
  </c:pivotSource>
  <c:chart>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'Matches vs Runs'!$B$1</c:f>
              <c:strCache>
                <c:ptCount val="1"/>
                <c:pt idx="0">
                  <c:v>Sum of Mat</c:v>
                </c:pt>
              </c:strCache>
            </c:strRef>
          </c:tx>
          <c:invertIfNegative val="0"/>
          <c:cat>
            <c:strRef>
              <c:f>'Matches vs Runs'!$A$2:$A$99</c:f>
              <c:strCache>
                <c:ptCount val="97"/>
                <c:pt idx="0">
                  <c:v>A Ranatunga (SL)</c:v>
                </c:pt>
                <c:pt idx="1">
                  <c:v>AB de Villiers (SA)</c:v>
                </c:pt>
                <c:pt idx="2">
                  <c:v>AC Gilchrist (AUS)</c:v>
                </c:pt>
                <c:pt idx="3">
                  <c:v>AD Mathews (SL)</c:v>
                </c:pt>
                <c:pt idx="4">
                  <c:v>AJ Stewart (ENG)</c:v>
                </c:pt>
                <c:pt idx="5">
                  <c:v>AJ Strauss (ENG)</c:v>
                </c:pt>
                <c:pt idx="6">
                  <c:v>AN Cook (ENG)</c:v>
                </c:pt>
                <c:pt idx="7">
                  <c:v>AR Border (AUS)</c:v>
                </c:pt>
                <c:pt idx="8">
                  <c:v>Azhar Ali (PAK)</c:v>
                </c:pt>
                <c:pt idx="9">
                  <c:v>BB McCullum (NZ)</c:v>
                </c:pt>
                <c:pt idx="10">
                  <c:v>BC Lara (ICC/WI)</c:v>
                </c:pt>
                <c:pt idx="11">
                  <c:v>CA Pujara (INDIA)</c:v>
                </c:pt>
                <c:pt idx="12">
                  <c:v>CG Greenidge (WI)</c:v>
                </c:pt>
                <c:pt idx="13">
                  <c:v>CH Gayle (WI)</c:v>
                </c:pt>
                <c:pt idx="14">
                  <c:v>CH Lloyd (WI)</c:v>
                </c:pt>
                <c:pt idx="15">
                  <c:v>CL Hooper (WI)</c:v>
                </c:pt>
                <c:pt idx="16">
                  <c:v>DA Warner (AUS)</c:v>
                </c:pt>
                <c:pt idx="17">
                  <c:v>DB Vengsarkar (INDIA)</c:v>
                </c:pt>
                <c:pt idx="18">
                  <c:v>DC Boon (AUS)</c:v>
                </c:pt>
                <c:pt idx="19">
                  <c:v>DCS Compton (ENG)</c:v>
                </c:pt>
                <c:pt idx="20">
                  <c:v>DG Bradman (AUS)</c:v>
                </c:pt>
                <c:pt idx="21">
                  <c:v>DI Gower (ENG)</c:v>
                </c:pt>
                <c:pt idx="22">
                  <c:v>DL Haynes (WI)</c:v>
                </c:pt>
                <c:pt idx="23">
                  <c:v>DPMD Jayawardene (SL)</c:v>
                </c:pt>
                <c:pt idx="24">
                  <c:v>FDM Karunaratne (SL)</c:v>
                </c:pt>
                <c:pt idx="25">
                  <c:v>G Boycott (ENG)</c:v>
                </c:pt>
                <c:pt idx="26">
                  <c:v>G Kirsten (SA)</c:v>
                </c:pt>
                <c:pt idx="27">
                  <c:v>GA Gooch (ENG)</c:v>
                </c:pt>
                <c:pt idx="28">
                  <c:v>GC Smith (ICC/SA)</c:v>
                </c:pt>
                <c:pt idx="29">
                  <c:v>GP Thorpe (ENG)</c:v>
                </c:pt>
                <c:pt idx="30">
                  <c:v>GR Viswanath (INDIA)</c:v>
                </c:pt>
                <c:pt idx="31">
                  <c:v>GS Chappell (AUS)</c:v>
                </c:pt>
                <c:pt idx="32">
                  <c:v>GS Sobers (WI)</c:v>
                </c:pt>
                <c:pt idx="33">
                  <c:v>HH Gibbs (SA)</c:v>
                </c:pt>
                <c:pt idx="34">
                  <c:v>HM Amla (SA)</c:v>
                </c:pt>
                <c:pt idx="35">
                  <c:v>IM Chappell (AUS)</c:v>
                </c:pt>
                <c:pt idx="36">
                  <c:v>Inzamam-ul-Haq (ICC/PAK)</c:v>
                </c:pt>
                <c:pt idx="37">
                  <c:v>IR Bell (ENG)</c:v>
                </c:pt>
                <c:pt idx="38">
                  <c:v>IT Botham (ENG)</c:v>
                </c:pt>
                <c:pt idx="39">
                  <c:v>IVA Richards (WI)</c:v>
                </c:pt>
                <c:pt idx="40">
                  <c:v>Javed Miandad (PAK)</c:v>
                </c:pt>
                <c:pt idx="41">
                  <c:v>JB Hobbs (ENG)</c:v>
                </c:pt>
                <c:pt idx="42">
                  <c:v>JE Root (ENG)</c:v>
                </c:pt>
                <c:pt idx="43">
                  <c:v>JG Wright (NZ)</c:v>
                </c:pt>
                <c:pt idx="44">
                  <c:v>JH Edrich (ENG)</c:v>
                </c:pt>
                <c:pt idx="45">
                  <c:v>JH Kallis (ICC/SA)</c:v>
                </c:pt>
                <c:pt idx="46">
                  <c:v>JL Langer (AUS)</c:v>
                </c:pt>
                <c:pt idx="47">
                  <c:v>KC Sangakkara (SL)</c:v>
                </c:pt>
                <c:pt idx="48">
                  <c:v>KD Walters (AUS)</c:v>
                </c:pt>
                <c:pt idx="49">
                  <c:v>KF Barrington (ENG)</c:v>
                </c:pt>
                <c:pt idx="50">
                  <c:v>KP Pietersen (ENG)</c:v>
                </c:pt>
                <c:pt idx="51">
                  <c:v>KS Williamson (NZ)</c:v>
                </c:pt>
                <c:pt idx="52">
                  <c:v>L Hutton (ENG)</c:v>
                </c:pt>
                <c:pt idx="53">
                  <c:v>LRPL Taylor (NZ)</c:v>
                </c:pt>
                <c:pt idx="54">
                  <c:v>M Azharuddin (INDIA)</c:v>
                </c:pt>
                <c:pt idx="55">
                  <c:v>MA Atherton (ENG)</c:v>
                </c:pt>
                <c:pt idx="56">
                  <c:v>MA Taylor (AUS)</c:v>
                </c:pt>
                <c:pt idx="57">
                  <c:v>MC Cowdrey (ENG)</c:v>
                </c:pt>
                <c:pt idx="58">
                  <c:v>MD Crowe (NZ)</c:v>
                </c:pt>
                <c:pt idx="59">
                  <c:v>ME Trescothick (ENG)</c:v>
                </c:pt>
                <c:pt idx="60">
                  <c:v>ME Waugh (AUS)</c:v>
                </c:pt>
                <c:pt idx="61">
                  <c:v>MEK Hussey (AUS)</c:v>
                </c:pt>
                <c:pt idx="62">
                  <c:v>Misbah-ul-Haq (PAK)</c:v>
                </c:pt>
                <c:pt idx="63">
                  <c:v>MJ Clarke (AUS)</c:v>
                </c:pt>
                <c:pt idx="64">
                  <c:v>MJ Slater (AUS)</c:v>
                </c:pt>
                <c:pt idx="65">
                  <c:v>ML Hayden (AUS)</c:v>
                </c:pt>
                <c:pt idx="66">
                  <c:v>Mohammad Yousuf (PAK)</c:v>
                </c:pt>
                <c:pt idx="67">
                  <c:v>MP Vaughan (ENG)</c:v>
                </c:pt>
                <c:pt idx="68">
                  <c:v>MS Atapattu (SL)</c:v>
                </c:pt>
                <c:pt idx="69">
                  <c:v>MV Boucher (ICC/SA)</c:v>
                </c:pt>
                <c:pt idx="70">
                  <c:v>N Hussain (ENG)</c:v>
                </c:pt>
                <c:pt idx="71">
                  <c:v>N Kapil Dev (INDIA)</c:v>
                </c:pt>
                <c:pt idx="72">
                  <c:v>PA de Silva (SL)</c:v>
                </c:pt>
                <c:pt idx="73">
                  <c:v>R Dravid (ICC/INDIA)</c:v>
                </c:pt>
                <c:pt idx="74">
                  <c:v>RB Kanhai (WI)</c:v>
                </c:pt>
                <c:pt idx="75">
                  <c:v>RB Richardson (WI)</c:v>
                </c:pt>
                <c:pt idx="76">
                  <c:v>RN Harvey (AUS)</c:v>
                </c:pt>
                <c:pt idx="77">
                  <c:v>RR Sarwan (WI)</c:v>
                </c:pt>
                <c:pt idx="78">
                  <c:v>RT Ponting (AUS)</c:v>
                </c:pt>
                <c:pt idx="79">
                  <c:v>S Chanderpaul (WI)</c:v>
                </c:pt>
                <c:pt idx="80">
                  <c:v>Saleem Malik (PAK)</c:v>
                </c:pt>
                <c:pt idx="81">
                  <c:v>SC Ganguly (INDIA)</c:v>
                </c:pt>
                <c:pt idx="82">
                  <c:v>SM Gavaskar (INDIA)</c:v>
                </c:pt>
                <c:pt idx="83">
                  <c:v>SP Fleming (NZ)</c:v>
                </c:pt>
                <c:pt idx="84">
                  <c:v>SPD Smith (AUS)</c:v>
                </c:pt>
                <c:pt idx="85">
                  <c:v>SR Tendulkar (INDIA)</c:v>
                </c:pt>
                <c:pt idx="86">
                  <c:v>SR Waugh (AUS)</c:v>
                </c:pt>
                <c:pt idx="87">
                  <c:v>ST Jayasuriya (SL)</c:v>
                </c:pt>
                <c:pt idx="88">
                  <c:v>TM Dilshan (SL)</c:v>
                </c:pt>
                <c:pt idx="89">
                  <c:v>TT Samaraweera (SL)</c:v>
                </c:pt>
                <c:pt idx="90">
                  <c:v>V Kohli (INDIA)</c:v>
                </c:pt>
                <c:pt idx="91">
                  <c:v>V Sehwag (ICC/INDIA)</c:v>
                </c:pt>
                <c:pt idx="92">
                  <c:v>VVS Laxman (INDIA)</c:v>
                </c:pt>
                <c:pt idx="93">
                  <c:v>WM Lawry (AUS)</c:v>
                </c:pt>
                <c:pt idx="94">
                  <c:v>WR Hammond (ENG)</c:v>
                </c:pt>
                <c:pt idx="95">
                  <c:v>Younis Khan (PAK)</c:v>
                </c:pt>
                <c:pt idx="96">
                  <c:v>Zaheer Abbas (PAK)</c:v>
                </c:pt>
              </c:strCache>
            </c:strRef>
          </c:cat>
          <c:val>
            <c:numRef>
              <c:f>'Matches vs Runs'!$B$2:$B$99</c:f>
              <c:numCache>
                <c:formatCode>General</c:formatCode>
                <c:ptCount val="97"/>
                <c:pt idx="0">
                  <c:v>93</c:v>
                </c:pt>
                <c:pt idx="1">
                  <c:v>114</c:v>
                </c:pt>
                <c:pt idx="2">
                  <c:v>96</c:v>
                </c:pt>
                <c:pt idx="3">
                  <c:v>92</c:v>
                </c:pt>
                <c:pt idx="4">
                  <c:v>133</c:v>
                </c:pt>
                <c:pt idx="5">
                  <c:v>100</c:v>
                </c:pt>
                <c:pt idx="6">
                  <c:v>161</c:v>
                </c:pt>
                <c:pt idx="7">
                  <c:v>156</c:v>
                </c:pt>
                <c:pt idx="8">
                  <c:v>91</c:v>
                </c:pt>
                <c:pt idx="9">
                  <c:v>101</c:v>
                </c:pt>
                <c:pt idx="10">
                  <c:v>131</c:v>
                </c:pt>
                <c:pt idx="11">
                  <c:v>92</c:v>
                </c:pt>
                <c:pt idx="12">
                  <c:v>108</c:v>
                </c:pt>
                <c:pt idx="13">
                  <c:v>103</c:v>
                </c:pt>
                <c:pt idx="14">
                  <c:v>110</c:v>
                </c:pt>
                <c:pt idx="15">
                  <c:v>102</c:v>
                </c:pt>
                <c:pt idx="16">
                  <c:v>0</c:v>
                </c:pt>
                <c:pt idx="17">
                  <c:v>116</c:v>
                </c:pt>
                <c:pt idx="18">
                  <c:v>107</c:v>
                </c:pt>
                <c:pt idx="19">
                  <c:v>78</c:v>
                </c:pt>
                <c:pt idx="20">
                  <c:v>52</c:v>
                </c:pt>
                <c:pt idx="21">
                  <c:v>117</c:v>
                </c:pt>
                <c:pt idx="22">
                  <c:v>116</c:v>
                </c:pt>
                <c:pt idx="23">
                  <c:v>149</c:v>
                </c:pt>
                <c:pt idx="24">
                  <c:v>74</c:v>
                </c:pt>
                <c:pt idx="25">
                  <c:v>108</c:v>
                </c:pt>
                <c:pt idx="26">
                  <c:v>101</c:v>
                </c:pt>
                <c:pt idx="27">
                  <c:v>118</c:v>
                </c:pt>
                <c:pt idx="28">
                  <c:v>117</c:v>
                </c:pt>
                <c:pt idx="29">
                  <c:v>100</c:v>
                </c:pt>
                <c:pt idx="30">
                  <c:v>91</c:v>
                </c:pt>
                <c:pt idx="31">
                  <c:v>87</c:v>
                </c:pt>
                <c:pt idx="32">
                  <c:v>93</c:v>
                </c:pt>
                <c:pt idx="33">
                  <c:v>90</c:v>
                </c:pt>
                <c:pt idx="34">
                  <c:v>124</c:v>
                </c:pt>
                <c:pt idx="35">
                  <c:v>75</c:v>
                </c:pt>
                <c:pt idx="36">
                  <c:v>120</c:v>
                </c:pt>
                <c:pt idx="37">
                  <c:v>118</c:v>
                </c:pt>
                <c:pt idx="38">
                  <c:v>102</c:v>
                </c:pt>
                <c:pt idx="39">
                  <c:v>121</c:v>
                </c:pt>
                <c:pt idx="40">
                  <c:v>124</c:v>
                </c:pt>
                <c:pt idx="41">
                  <c:v>61</c:v>
                </c:pt>
                <c:pt idx="42">
                  <c:v>0</c:v>
                </c:pt>
                <c:pt idx="43">
                  <c:v>82</c:v>
                </c:pt>
                <c:pt idx="44">
                  <c:v>77</c:v>
                </c:pt>
                <c:pt idx="45">
                  <c:v>166</c:v>
                </c:pt>
                <c:pt idx="46">
                  <c:v>105</c:v>
                </c:pt>
                <c:pt idx="47">
                  <c:v>134</c:v>
                </c:pt>
                <c:pt idx="48">
                  <c:v>74</c:v>
                </c:pt>
                <c:pt idx="49">
                  <c:v>82</c:v>
                </c:pt>
                <c:pt idx="50">
                  <c:v>104</c:v>
                </c:pt>
                <c:pt idx="51">
                  <c:v>86</c:v>
                </c:pt>
                <c:pt idx="52">
                  <c:v>79</c:v>
                </c:pt>
                <c:pt idx="53">
                  <c:v>110</c:v>
                </c:pt>
                <c:pt idx="54">
                  <c:v>99</c:v>
                </c:pt>
                <c:pt idx="55">
                  <c:v>115</c:v>
                </c:pt>
                <c:pt idx="56">
                  <c:v>104</c:v>
                </c:pt>
                <c:pt idx="57">
                  <c:v>114</c:v>
                </c:pt>
                <c:pt idx="58">
                  <c:v>77</c:v>
                </c:pt>
                <c:pt idx="59">
                  <c:v>76</c:v>
                </c:pt>
                <c:pt idx="60">
                  <c:v>128</c:v>
                </c:pt>
                <c:pt idx="61">
                  <c:v>79</c:v>
                </c:pt>
                <c:pt idx="62">
                  <c:v>75</c:v>
                </c:pt>
                <c:pt idx="63">
                  <c:v>115</c:v>
                </c:pt>
                <c:pt idx="64">
                  <c:v>74</c:v>
                </c:pt>
                <c:pt idx="65">
                  <c:v>103</c:v>
                </c:pt>
                <c:pt idx="66">
                  <c:v>90</c:v>
                </c:pt>
                <c:pt idx="67">
                  <c:v>82</c:v>
                </c:pt>
                <c:pt idx="68">
                  <c:v>90</c:v>
                </c:pt>
                <c:pt idx="69">
                  <c:v>147</c:v>
                </c:pt>
                <c:pt idx="70">
                  <c:v>96</c:v>
                </c:pt>
                <c:pt idx="71">
                  <c:v>131</c:v>
                </c:pt>
                <c:pt idx="72">
                  <c:v>93</c:v>
                </c:pt>
                <c:pt idx="73">
                  <c:v>164</c:v>
                </c:pt>
                <c:pt idx="74">
                  <c:v>79</c:v>
                </c:pt>
                <c:pt idx="75">
                  <c:v>86</c:v>
                </c:pt>
                <c:pt idx="76">
                  <c:v>79</c:v>
                </c:pt>
                <c:pt idx="77">
                  <c:v>87</c:v>
                </c:pt>
                <c:pt idx="78">
                  <c:v>168</c:v>
                </c:pt>
                <c:pt idx="79">
                  <c:v>164</c:v>
                </c:pt>
                <c:pt idx="80">
                  <c:v>103</c:v>
                </c:pt>
                <c:pt idx="81">
                  <c:v>113</c:v>
                </c:pt>
                <c:pt idx="82">
                  <c:v>125</c:v>
                </c:pt>
                <c:pt idx="83">
                  <c:v>111</c:v>
                </c:pt>
                <c:pt idx="84">
                  <c:v>0</c:v>
                </c:pt>
                <c:pt idx="85">
                  <c:v>200</c:v>
                </c:pt>
                <c:pt idx="86">
                  <c:v>168</c:v>
                </c:pt>
                <c:pt idx="87">
                  <c:v>110</c:v>
                </c:pt>
                <c:pt idx="88">
                  <c:v>87</c:v>
                </c:pt>
                <c:pt idx="89">
                  <c:v>81</c:v>
                </c:pt>
                <c:pt idx="90">
                  <c:v>97</c:v>
                </c:pt>
                <c:pt idx="91">
                  <c:v>104</c:v>
                </c:pt>
                <c:pt idx="92">
                  <c:v>134</c:v>
                </c:pt>
                <c:pt idx="93">
                  <c:v>67</c:v>
                </c:pt>
                <c:pt idx="94">
                  <c:v>85</c:v>
                </c:pt>
                <c:pt idx="95">
                  <c:v>118</c:v>
                </c:pt>
                <c:pt idx="96">
                  <c:v>78</c:v>
                </c:pt>
              </c:numCache>
            </c:numRef>
          </c:val>
        </c:ser>
        <c:ser>
          <c:idx val="1"/>
          <c:order val="1"/>
          <c:tx>
            <c:strRef>
              <c:f>'Matches vs Runs'!$C$1</c:f>
              <c:strCache>
                <c:ptCount val="1"/>
                <c:pt idx="0">
                  <c:v>Sum of Runs</c:v>
                </c:pt>
              </c:strCache>
            </c:strRef>
          </c:tx>
          <c:invertIfNegative val="0"/>
          <c:cat>
            <c:strRef>
              <c:f>'Matches vs Runs'!$A$2:$A$99</c:f>
              <c:strCache>
                <c:ptCount val="97"/>
                <c:pt idx="0">
                  <c:v>A Ranatunga (SL)</c:v>
                </c:pt>
                <c:pt idx="1">
                  <c:v>AB de Villiers (SA)</c:v>
                </c:pt>
                <c:pt idx="2">
                  <c:v>AC Gilchrist (AUS)</c:v>
                </c:pt>
                <c:pt idx="3">
                  <c:v>AD Mathews (SL)</c:v>
                </c:pt>
                <c:pt idx="4">
                  <c:v>AJ Stewart (ENG)</c:v>
                </c:pt>
                <c:pt idx="5">
                  <c:v>AJ Strauss (ENG)</c:v>
                </c:pt>
                <c:pt idx="6">
                  <c:v>AN Cook (ENG)</c:v>
                </c:pt>
                <c:pt idx="7">
                  <c:v>AR Border (AUS)</c:v>
                </c:pt>
                <c:pt idx="8">
                  <c:v>Azhar Ali (PAK)</c:v>
                </c:pt>
                <c:pt idx="9">
                  <c:v>BB McCullum (NZ)</c:v>
                </c:pt>
                <c:pt idx="10">
                  <c:v>BC Lara (ICC/WI)</c:v>
                </c:pt>
                <c:pt idx="11">
                  <c:v>CA Pujara (INDIA)</c:v>
                </c:pt>
                <c:pt idx="12">
                  <c:v>CG Greenidge (WI)</c:v>
                </c:pt>
                <c:pt idx="13">
                  <c:v>CH Gayle (WI)</c:v>
                </c:pt>
                <c:pt idx="14">
                  <c:v>CH Lloyd (WI)</c:v>
                </c:pt>
                <c:pt idx="15">
                  <c:v>CL Hooper (WI)</c:v>
                </c:pt>
                <c:pt idx="16">
                  <c:v>DA Warner (AUS)</c:v>
                </c:pt>
                <c:pt idx="17">
                  <c:v>DB Vengsarkar (INDIA)</c:v>
                </c:pt>
                <c:pt idx="18">
                  <c:v>DC Boon (AUS)</c:v>
                </c:pt>
                <c:pt idx="19">
                  <c:v>DCS Compton (ENG)</c:v>
                </c:pt>
                <c:pt idx="20">
                  <c:v>DG Bradman (AUS)</c:v>
                </c:pt>
                <c:pt idx="21">
                  <c:v>DI Gower (ENG)</c:v>
                </c:pt>
                <c:pt idx="22">
                  <c:v>DL Haynes (WI)</c:v>
                </c:pt>
                <c:pt idx="23">
                  <c:v>DPMD Jayawardene (SL)</c:v>
                </c:pt>
                <c:pt idx="24">
                  <c:v>FDM Karunaratne (SL)</c:v>
                </c:pt>
                <c:pt idx="25">
                  <c:v>G Boycott (ENG)</c:v>
                </c:pt>
                <c:pt idx="26">
                  <c:v>G Kirsten (SA)</c:v>
                </c:pt>
                <c:pt idx="27">
                  <c:v>GA Gooch (ENG)</c:v>
                </c:pt>
                <c:pt idx="28">
                  <c:v>GC Smith (ICC/SA)</c:v>
                </c:pt>
                <c:pt idx="29">
                  <c:v>GP Thorpe (ENG)</c:v>
                </c:pt>
                <c:pt idx="30">
                  <c:v>GR Viswanath (INDIA)</c:v>
                </c:pt>
                <c:pt idx="31">
                  <c:v>GS Chappell (AUS)</c:v>
                </c:pt>
                <c:pt idx="32">
                  <c:v>GS Sobers (WI)</c:v>
                </c:pt>
                <c:pt idx="33">
                  <c:v>HH Gibbs (SA)</c:v>
                </c:pt>
                <c:pt idx="34">
                  <c:v>HM Amla (SA)</c:v>
                </c:pt>
                <c:pt idx="35">
                  <c:v>IM Chappell (AUS)</c:v>
                </c:pt>
                <c:pt idx="36">
                  <c:v>Inzamam-ul-Haq (ICC/PAK)</c:v>
                </c:pt>
                <c:pt idx="37">
                  <c:v>IR Bell (ENG)</c:v>
                </c:pt>
                <c:pt idx="38">
                  <c:v>IT Botham (ENG)</c:v>
                </c:pt>
                <c:pt idx="39">
                  <c:v>IVA Richards (WI)</c:v>
                </c:pt>
                <c:pt idx="40">
                  <c:v>Javed Miandad (PAK)</c:v>
                </c:pt>
                <c:pt idx="41">
                  <c:v>JB Hobbs (ENG)</c:v>
                </c:pt>
                <c:pt idx="42">
                  <c:v>JE Root (ENG)</c:v>
                </c:pt>
                <c:pt idx="43">
                  <c:v>JG Wright (NZ)</c:v>
                </c:pt>
                <c:pt idx="44">
                  <c:v>JH Edrich (ENG)</c:v>
                </c:pt>
                <c:pt idx="45">
                  <c:v>JH Kallis (ICC/SA)</c:v>
                </c:pt>
                <c:pt idx="46">
                  <c:v>JL Langer (AUS)</c:v>
                </c:pt>
                <c:pt idx="47">
                  <c:v>KC Sangakkara (SL)</c:v>
                </c:pt>
                <c:pt idx="48">
                  <c:v>KD Walters (AUS)</c:v>
                </c:pt>
                <c:pt idx="49">
                  <c:v>KF Barrington (ENG)</c:v>
                </c:pt>
                <c:pt idx="50">
                  <c:v>KP Pietersen (ENG)</c:v>
                </c:pt>
                <c:pt idx="51">
                  <c:v>KS Williamson (NZ)</c:v>
                </c:pt>
                <c:pt idx="52">
                  <c:v>L Hutton (ENG)</c:v>
                </c:pt>
                <c:pt idx="53">
                  <c:v>LRPL Taylor (NZ)</c:v>
                </c:pt>
                <c:pt idx="54">
                  <c:v>M Azharuddin (INDIA)</c:v>
                </c:pt>
                <c:pt idx="55">
                  <c:v>MA Atherton (ENG)</c:v>
                </c:pt>
                <c:pt idx="56">
                  <c:v>MA Taylor (AUS)</c:v>
                </c:pt>
                <c:pt idx="57">
                  <c:v>MC Cowdrey (ENG)</c:v>
                </c:pt>
                <c:pt idx="58">
                  <c:v>MD Crowe (NZ)</c:v>
                </c:pt>
                <c:pt idx="59">
                  <c:v>ME Trescothick (ENG)</c:v>
                </c:pt>
                <c:pt idx="60">
                  <c:v>ME Waugh (AUS)</c:v>
                </c:pt>
                <c:pt idx="61">
                  <c:v>MEK Hussey (AUS)</c:v>
                </c:pt>
                <c:pt idx="62">
                  <c:v>Misbah-ul-Haq (PAK)</c:v>
                </c:pt>
                <c:pt idx="63">
                  <c:v>MJ Clarke (AUS)</c:v>
                </c:pt>
                <c:pt idx="64">
                  <c:v>MJ Slater (AUS)</c:v>
                </c:pt>
                <c:pt idx="65">
                  <c:v>ML Hayden (AUS)</c:v>
                </c:pt>
                <c:pt idx="66">
                  <c:v>Mohammad Yousuf (PAK)</c:v>
                </c:pt>
                <c:pt idx="67">
                  <c:v>MP Vaughan (ENG)</c:v>
                </c:pt>
                <c:pt idx="68">
                  <c:v>MS Atapattu (SL)</c:v>
                </c:pt>
                <c:pt idx="69">
                  <c:v>MV Boucher (ICC/SA)</c:v>
                </c:pt>
                <c:pt idx="70">
                  <c:v>N Hussain (ENG)</c:v>
                </c:pt>
                <c:pt idx="71">
                  <c:v>N Kapil Dev (INDIA)</c:v>
                </c:pt>
                <c:pt idx="72">
                  <c:v>PA de Silva (SL)</c:v>
                </c:pt>
                <c:pt idx="73">
                  <c:v>R Dravid (ICC/INDIA)</c:v>
                </c:pt>
                <c:pt idx="74">
                  <c:v>RB Kanhai (WI)</c:v>
                </c:pt>
                <c:pt idx="75">
                  <c:v>RB Richardson (WI)</c:v>
                </c:pt>
                <c:pt idx="76">
                  <c:v>RN Harvey (AUS)</c:v>
                </c:pt>
                <c:pt idx="77">
                  <c:v>RR Sarwan (WI)</c:v>
                </c:pt>
                <c:pt idx="78">
                  <c:v>RT Ponting (AUS)</c:v>
                </c:pt>
                <c:pt idx="79">
                  <c:v>S Chanderpaul (WI)</c:v>
                </c:pt>
                <c:pt idx="80">
                  <c:v>Saleem Malik (PAK)</c:v>
                </c:pt>
                <c:pt idx="81">
                  <c:v>SC Ganguly (INDIA)</c:v>
                </c:pt>
                <c:pt idx="82">
                  <c:v>SM Gavaskar (INDIA)</c:v>
                </c:pt>
                <c:pt idx="83">
                  <c:v>SP Fleming (NZ)</c:v>
                </c:pt>
                <c:pt idx="84">
                  <c:v>SPD Smith (AUS)</c:v>
                </c:pt>
                <c:pt idx="85">
                  <c:v>SR Tendulkar (INDIA)</c:v>
                </c:pt>
                <c:pt idx="86">
                  <c:v>SR Waugh (AUS)</c:v>
                </c:pt>
                <c:pt idx="87">
                  <c:v>ST Jayasuriya (SL)</c:v>
                </c:pt>
                <c:pt idx="88">
                  <c:v>TM Dilshan (SL)</c:v>
                </c:pt>
                <c:pt idx="89">
                  <c:v>TT Samaraweera (SL)</c:v>
                </c:pt>
                <c:pt idx="90">
                  <c:v>V Kohli (INDIA)</c:v>
                </c:pt>
                <c:pt idx="91">
                  <c:v>V Sehwag (ICC/INDIA)</c:v>
                </c:pt>
                <c:pt idx="92">
                  <c:v>VVS Laxman (INDIA)</c:v>
                </c:pt>
                <c:pt idx="93">
                  <c:v>WM Lawry (AUS)</c:v>
                </c:pt>
                <c:pt idx="94">
                  <c:v>WR Hammond (ENG)</c:v>
                </c:pt>
                <c:pt idx="95">
                  <c:v>Younis Khan (PAK)</c:v>
                </c:pt>
                <c:pt idx="96">
                  <c:v>Zaheer Abbas (PAK)</c:v>
                </c:pt>
              </c:strCache>
            </c:strRef>
          </c:cat>
          <c:val>
            <c:numRef>
              <c:f>'Matches vs Runs'!$C$2:$C$99</c:f>
              <c:numCache>
                <c:formatCode>General</c:formatCode>
                <c:ptCount val="97"/>
                <c:pt idx="0">
                  <c:v>5105</c:v>
                </c:pt>
                <c:pt idx="1">
                  <c:v>8765</c:v>
                </c:pt>
                <c:pt idx="2">
                  <c:v>5570</c:v>
                </c:pt>
                <c:pt idx="3">
                  <c:v>6338</c:v>
                </c:pt>
                <c:pt idx="4">
                  <c:v>8463</c:v>
                </c:pt>
                <c:pt idx="5">
                  <c:v>7037</c:v>
                </c:pt>
                <c:pt idx="6">
                  <c:v>12472</c:v>
                </c:pt>
                <c:pt idx="7">
                  <c:v>11174</c:v>
                </c:pt>
                <c:pt idx="8">
                  <c:v>6721</c:v>
                </c:pt>
                <c:pt idx="9">
                  <c:v>6453</c:v>
                </c:pt>
                <c:pt idx="10">
                  <c:v>11953</c:v>
                </c:pt>
                <c:pt idx="11">
                  <c:v>6589</c:v>
                </c:pt>
                <c:pt idx="12">
                  <c:v>7558</c:v>
                </c:pt>
                <c:pt idx="13">
                  <c:v>7214</c:v>
                </c:pt>
                <c:pt idx="14">
                  <c:v>7515</c:v>
                </c:pt>
                <c:pt idx="15">
                  <c:v>5762</c:v>
                </c:pt>
                <c:pt idx="16">
                  <c:v>7500</c:v>
                </c:pt>
                <c:pt idx="17">
                  <c:v>6868</c:v>
                </c:pt>
                <c:pt idx="18">
                  <c:v>7422</c:v>
                </c:pt>
                <c:pt idx="19">
                  <c:v>5807</c:v>
                </c:pt>
                <c:pt idx="20">
                  <c:v>6996</c:v>
                </c:pt>
                <c:pt idx="21">
                  <c:v>8231</c:v>
                </c:pt>
                <c:pt idx="22">
                  <c:v>7487</c:v>
                </c:pt>
                <c:pt idx="23">
                  <c:v>11814</c:v>
                </c:pt>
                <c:pt idx="24">
                  <c:v>5454</c:v>
                </c:pt>
                <c:pt idx="25">
                  <c:v>8114</c:v>
                </c:pt>
                <c:pt idx="26">
                  <c:v>7289</c:v>
                </c:pt>
                <c:pt idx="27">
                  <c:v>8900</c:v>
                </c:pt>
                <c:pt idx="28">
                  <c:v>9265</c:v>
                </c:pt>
                <c:pt idx="29">
                  <c:v>6744</c:v>
                </c:pt>
                <c:pt idx="30">
                  <c:v>6080</c:v>
                </c:pt>
                <c:pt idx="31">
                  <c:v>7110</c:v>
                </c:pt>
                <c:pt idx="32">
                  <c:v>8032</c:v>
                </c:pt>
                <c:pt idx="33">
                  <c:v>6167</c:v>
                </c:pt>
                <c:pt idx="34">
                  <c:v>9282</c:v>
                </c:pt>
                <c:pt idx="35">
                  <c:v>5345</c:v>
                </c:pt>
                <c:pt idx="36">
                  <c:v>8830</c:v>
                </c:pt>
                <c:pt idx="37">
                  <c:v>7727</c:v>
                </c:pt>
                <c:pt idx="38">
                  <c:v>5200</c:v>
                </c:pt>
                <c:pt idx="39">
                  <c:v>8540</c:v>
                </c:pt>
                <c:pt idx="40">
                  <c:v>8832</c:v>
                </c:pt>
                <c:pt idx="41">
                  <c:v>5410</c:v>
                </c:pt>
                <c:pt idx="42">
                  <c:v>9367</c:v>
                </c:pt>
                <c:pt idx="43">
                  <c:v>5334</c:v>
                </c:pt>
                <c:pt idx="44">
                  <c:v>5138</c:v>
                </c:pt>
                <c:pt idx="45">
                  <c:v>13289</c:v>
                </c:pt>
                <c:pt idx="46">
                  <c:v>7696</c:v>
                </c:pt>
                <c:pt idx="47">
                  <c:v>12400</c:v>
                </c:pt>
                <c:pt idx="48">
                  <c:v>5357</c:v>
                </c:pt>
                <c:pt idx="49">
                  <c:v>6806</c:v>
                </c:pt>
                <c:pt idx="50">
                  <c:v>8181</c:v>
                </c:pt>
                <c:pt idx="51">
                  <c:v>7272</c:v>
                </c:pt>
                <c:pt idx="52">
                  <c:v>6971</c:v>
                </c:pt>
                <c:pt idx="53">
                  <c:v>7584</c:v>
                </c:pt>
                <c:pt idx="54">
                  <c:v>6215</c:v>
                </c:pt>
                <c:pt idx="55">
                  <c:v>7728</c:v>
                </c:pt>
                <c:pt idx="56">
                  <c:v>7525</c:v>
                </c:pt>
                <c:pt idx="57">
                  <c:v>7624</c:v>
                </c:pt>
                <c:pt idx="58">
                  <c:v>5444</c:v>
                </c:pt>
                <c:pt idx="59">
                  <c:v>5825</c:v>
                </c:pt>
                <c:pt idx="60">
                  <c:v>8029</c:v>
                </c:pt>
                <c:pt idx="61">
                  <c:v>6235</c:v>
                </c:pt>
                <c:pt idx="62">
                  <c:v>5222</c:v>
                </c:pt>
                <c:pt idx="63">
                  <c:v>8643</c:v>
                </c:pt>
                <c:pt idx="64">
                  <c:v>5312</c:v>
                </c:pt>
                <c:pt idx="65">
                  <c:v>8625</c:v>
                </c:pt>
                <c:pt idx="66">
                  <c:v>7530</c:v>
                </c:pt>
                <c:pt idx="67">
                  <c:v>5719</c:v>
                </c:pt>
                <c:pt idx="68">
                  <c:v>5502</c:v>
                </c:pt>
                <c:pt idx="69">
                  <c:v>5515</c:v>
                </c:pt>
                <c:pt idx="70">
                  <c:v>5764</c:v>
                </c:pt>
                <c:pt idx="71">
                  <c:v>5248</c:v>
                </c:pt>
                <c:pt idx="72">
                  <c:v>6361</c:v>
                </c:pt>
                <c:pt idx="73">
                  <c:v>13288</c:v>
                </c:pt>
                <c:pt idx="74">
                  <c:v>6227</c:v>
                </c:pt>
                <c:pt idx="75">
                  <c:v>5949</c:v>
                </c:pt>
                <c:pt idx="76">
                  <c:v>6149</c:v>
                </c:pt>
                <c:pt idx="77">
                  <c:v>5842</c:v>
                </c:pt>
                <c:pt idx="78">
                  <c:v>13378</c:v>
                </c:pt>
                <c:pt idx="79">
                  <c:v>11867</c:v>
                </c:pt>
                <c:pt idx="80">
                  <c:v>5768</c:v>
                </c:pt>
                <c:pt idx="81">
                  <c:v>7212</c:v>
                </c:pt>
                <c:pt idx="82">
                  <c:v>10122</c:v>
                </c:pt>
                <c:pt idx="83">
                  <c:v>7172</c:v>
                </c:pt>
                <c:pt idx="84">
                  <c:v>7625</c:v>
                </c:pt>
                <c:pt idx="85">
                  <c:v>15921</c:v>
                </c:pt>
                <c:pt idx="86">
                  <c:v>10927</c:v>
                </c:pt>
                <c:pt idx="87">
                  <c:v>6973</c:v>
                </c:pt>
                <c:pt idx="88">
                  <c:v>5492</c:v>
                </c:pt>
                <c:pt idx="89">
                  <c:v>5462</c:v>
                </c:pt>
                <c:pt idx="90">
                  <c:v>7801</c:v>
                </c:pt>
                <c:pt idx="91">
                  <c:v>8586</c:v>
                </c:pt>
                <c:pt idx="92">
                  <c:v>8781</c:v>
                </c:pt>
                <c:pt idx="93">
                  <c:v>5234</c:v>
                </c:pt>
                <c:pt idx="94">
                  <c:v>7249</c:v>
                </c:pt>
                <c:pt idx="95">
                  <c:v>10099</c:v>
                </c:pt>
                <c:pt idx="96">
                  <c:v>5062</c:v>
                </c:pt>
              </c:numCache>
            </c:numRef>
          </c:val>
        </c:ser>
        <c:dLbls>
          <c:showLegendKey val="0"/>
          <c:showVal val="0"/>
          <c:showCatName val="0"/>
          <c:showSerName val="0"/>
          <c:showPercent val="0"/>
          <c:showBubbleSize val="0"/>
        </c:dLbls>
        <c:gapWidth val="150"/>
        <c:axId val="139872896"/>
        <c:axId val="140779904"/>
      </c:barChart>
      <c:catAx>
        <c:axId val="139872896"/>
        <c:scaling>
          <c:orientation val="minMax"/>
        </c:scaling>
        <c:delete val="0"/>
        <c:axPos val="l"/>
        <c:majorTickMark val="out"/>
        <c:minorTickMark val="none"/>
        <c:tickLblPos val="nextTo"/>
        <c:crossAx val="140779904"/>
        <c:crosses val="autoZero"/>
        <c:auto val="1"/>
        <c:lblAlgn val="ctr"/>
        <c:lblOffset val="100"/>
        <c:noMultiLvlLbl val="0"/>
      </c:catAx>
      <c:valAx>
        <c:axId val="140779904"/>
        <c:scaling>
          <c:orientation val="minMax"/>
        </c:scaling>
        <c:delete val="0"/>
        <c:axPos val="b"/>
        <c:majorGridlines/>
        <c:numFmt formatCode="General" sourceLinked="1"/>
        <c:majorTickMark val="out"/>
        <c:minorTickMark val="none"/>
        <c:tickLblPos val="nextTo"/>
        <c:crossAx val="1398728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Dashboard.xlsx]100s vs 50s Analysis!PivotTable10</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'100s vs 50s Analysis'!$B$1</c:f>
              <c:strCache>
                <c:ptCount val="1"/>
                <c:pt idx="0">
                  <c:v>Sum of 100</c:v>
                </c:pt>
              </c:strCache>
            </c:strRef>
          </c:tx>
          <c:invertIfNegative val="0"/>
          <c:cat>
            <c:strRef>
              <c:f>'100s vs 50s Analysis'!$A$2:$A$12</c:f>
              <c:strCache>
                <c:ptCount val="10"/>
                <c:pt idx="0">
                  <c:v>SR Tendulkar (INDIA)</c:v>
                </c:pt>
                <c:pt idx="1">
                  <c:v>JH Kallis (ICC/SA)</c:v>
                </c:pt>
                <c:pt idx="2">
                  <c:v>RT Ponting (AUS)</c:v>
                </c:pt>
                <c:pt idx="3">
                  <c:v>KC Sangakkara (SL)</c:v>
                </c:pt>
                <c:pt idx="4">
                  <c:v>R Dravid (ICC/INDIA)</c:v>
                </c:pt>
                <c:pt idx="5">
                  <c:v>Younis Khan (PAK)</c:v>
                </c:pt>
                <c:pt idx="6">
                  <c:v>BC Lara (ICC/WI)</c:v>
                </c:pt>
                <c:pt idx="7">
                  <c:v>SM Gavaskar (INDIA)</c:v>
                </c:pt>
                <c:pt idx="8">
                  <c:v>DPMD Jayawardene (SL)</c:v>
                </c:pt>
                <c:pt idx="9">
                  <c:v>AN Cook (ENG)</c:v>
                </c:pt>
              </c:strCache>
            </c:strRef>
          </c:cat>
          <c:val>
            <c:numRef>
              <c:f>'100s vs 50s Analysis'!$B$2:$B$12</c:f>
              <c:numCache>
                <c:formatCode>General</c:formatCode>
                <c:ptCount val="10"/>
                <c:pt idx="0">
                  <c:v>51</c:v>
                </c:pt>
                <c:pt idx="1">
                  <c:v>45</c:v>
                </c:pt>
                <c:pt idx="2">
                  <c:v>41</c:v>
                </c:pt>
                <c:pt idx="3">
                  <c:v>38</c:v>
                </c:pt>
                <c:pt idx="4">
                  <c:v>36</c:v>
                </c:pt>
                <c:pt idx="5">
                  <c:v>34</c:v>
                </c:pt>
                <c:pt idx="6">
                  <c:v>34</c:v>
                </c:pt>
                <c:pt idx="7">
                  <c:v>34</c:v>
                </c:pt>
                <c:pt idx="8">
                  <c:v>34</c:v>
                </c:pt>
                <c:pt idx="9">
                  <c:v>33</c:v>
                </c:pt>
              </c:numCache>
            </c:numRef>
          </c:val>
        </c:ser>
        <c:ser>
          <c:idx val="1"/>
          <c:order val="1"/>
          <c:tx>
            <c:strRef>
              <c:f>'100s vs 50s Analysis'!$C$1</c:f>
              <c:strCache>
                <c:ptCount val="1"/>
                <c:pt idx="0">
                  <c:v>Sum of 50</c:v>
                </c:pt>
              </c:strCache>
            </c:strRef>
          </c:tx>
          <c:invertIfNegative val="0"/>
          <c:cat>
            <c:strRef>
              <c:f>'100s vs 50s Analysis'!$A$2:$A$12</c:f>
              <c:strCache>
                <c:ptCount val="10"/>
                <c:pt idx="0">
                  <c:v>SR Tendulkar (INDIA)</c:v>
                </c:pt>
                <c:pt idx="1">
                  <c:v>JH Kallis (ICC/SA)</c:v>
                </c:pt>
                <c:pt idx="2">
                  <c:v>RT Ponting (AUS)</c:v>
                </c:pt>
                <c:pt idx="3">
                  <c:v>KC Sangakkara (SL)</c:v>
                </c:pt>
                <c:pt idx="4">
                  <c:v>R Dravid (ICC/INDIA)</c:v>
                </c:pt>
                <c:pt idx="5">
                  <c:v>Younis Khan (PAK)</c:v>
                </c:pt>
                <c:pt idx="6">
                  <c:v>BC Lara (ICC/WI)</c:v>
                </c:pt>
                <c:pt idx="7">
                  <c:v>SM Gavaskar (INDIA)</c:v>
                </c:pt>
                <c:pt idx="8">
                  <c:v>DPMD Jayawardene (SL)</c:v>
                </c:pt>
                <c:pt idx="9">
                  <c:v>AN Cook (ENG)</c:v>
                </c:pt>
              </c:strCache>
            </c:strRef>
          </c:cat>
          <c:val>
            <c:numRef>
              <c:f>'100s vs 50s Analysis'!$C$2:$C$12</c:f>
              <c:numCache>
                <c:formatCode>General</c:formatCode>
                <c:ptCount val="10"/>
                <c:pt idx="0">
                  <c:v>68</c:v>
                </c:pt>
                <c:pt idx="1">
                  <c:v>58</c:v>
                </c:pt>
                <c:pt idx="2">
                  <c:v>62</c:v>
                </c:pt>
                <c:pt idx="3">
                  <c:v>52</c:v>
                </c:pt>
                <c:pt idx="4">
                  <c:v>63</c:v>
                </c:pt>
                <c:pt idx="5">
                  <c:v>33</c:v>
                </c:pt>
                <c:pt idx="6">
                  <c:v>48</c:v>
                </c:pt>
                <c:pt idx="7">
                  <c:v>45</c:v>
                </c:pt>
                <c:pt idx="8">
                  <c:v>50</c:v>
                </c:pt>
                <c:pt idx="9">
                  <c:v>57</c:v>
                </c:pt>
              </c:numCache>
            </c:numRef>
          </c:val>
        </c:ser>
        <c:dLbls>
          <c:showLegendKey val="0"/>
          <c:showVal val="0"/>
          <c:showCatName val="0"/>
          <c:showSerName val="0"/>
          <c:showPercent val="0"/>
          <c:showBubbleSize val="0"/>
        </c:dLbls>
        <c:gapWidth val="150"/>
        <c:axId val="203222016"/>
        <c:axId val="203227904"/>
      </c:barChart>
      <c:catAx>
        <c:axId val="203222016"/>
        <c:scaling>
          <c:orientation val="minMax"/>
        </c:scaling>
        <c:delete val="0"/>
        <c:axPos val="b"/>
        <c:majorTickMark val="out"/>
        <c:minorTickMark val="none"/>
        <c:tickLblPos val="nextTo"/>
        <c:crossAx val="203227904"/>
        <c:crosses val="autoZero"/>
        <c:auto val="1"/>
        <c:lblAlgn val="ctr"/>
        <c:lblOffset val="100"/>
        <c:noMultiLvlLbl val="0"/>
      </c:catAx>
      <c:valAx>
        <c:axId val="203227904"/>
        <c:scaling>
          <c:orientation val="minMax"/>
        </c:scaling>
        <c:delete val="0"/>
        <c:axPos val="l"/>
        <c:majorGridlines/>
        <c:numFmt formatCode="General" sourceLinked="1"/>
        <c:majorTickMark val="out"/>
        <c:minorTickMark val="none"/>
        <c:tickLblPos val="nextTo"/>
        <c:crossAx val="2032220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Run Scorers!PivotTable2</c:name>
    <c:fmtId val="5"/>
  </c:pivotSource>
  <c:chart>
    <c:title>
      <c:tx>
        <c:rich>
          <a:bodyPr/>
          <a:lstStyle/>
          <a:p>
            <a:pPr>
              <a:defRPr/>
            </a:pPr>
            <a:r>
              <a:rPr lang="en-US"/>
              <a:t>Top</a:t>
            </a:r>
            <a:r>
              <a:rPr lang="en-US" baseline="0"/>
              <a:t> 10 Run Scorers</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'Top 10 Run Scorers'!$B$3</c:f>
              <c:strCache>
                <c:ptCount val="1"/>
                <c:pt idx="0">
                  <c:v>Total</c:v>
                </c:pt>
              </c:strCache>
            </c:strRef>
          </c:tx>
          <c:invertIfNegative val="0"/>
          <c:cat>
            <c:strRef>
              <c:f>'Top 10 Run Scorers'!$A$4:$A$14</c:f>
              <c:strCache>
                <c:ptCount val="10"/>
                <c:pt idx="0">
                  <c:v>SR Tendulkar (INDIA)</c:v>
                </c:pt>
                <c:pt idx="1">
                  <c:v>S Chanderpaul (WI)</c:v>
                </c:pt>
                <c:pt idx="2">
                  <c:v>RT Ponting (AUS)</c:v>
                </c:pt>
                <c:pt idx="3">
                  <c:v>R Dravid (ICC/INDIA)</c:v>
                </c:pt>
                <c:pt idx="4">
                  <c:v>KC Sangakkara (SL)</c:v>
                </c:pt>
                <c:pt idx="5">
                  <c:v>JH Kallis (ICC/SA)</c:v>
                </c:pt>
                <c:pt idx="6">
                  <c:v>DPMD Jayawardene (SL)</c:v>
                </c:pt>
                <c:pt idx="7">
                  <c:v>BC Lara (ICC/WI)</c:v>
                </c:pt>
                <c:pt idx="8">
                  <c:v>AR Border (AUS)</c:v>
                </c:pt>
                <c:pt idx="9">
                  <c:v>AN Cook (ENG)</c:v>
                </c:pt>
              </c:strCache>
            </c:strRef>
          </c:cat>
          <c:val>
            <c:numRef>
              <c:f>'Top 10 Run Scorers'!$B$4:$B$14</c:f>
              <c:numCache>
                <c:formatCode>General</c:formatCode>
                <c:ptCount val="10"/>
                <c:pt idx="0">
                  <c:v>15921</c:v>
                </c:pt>
                <c:pt idx="1">
                  <c:v>11867</c:v>
                </c:pt>
                <c:pt idx="2">
                  <c:v>13378</c:v>
                </c:pt>
                <c:pt idx="3">
                  <c:v>13288</c:v>
                </c:pt>
                <c:pt idx="4">
                  <c:v>12400</c:v>
                </c:pt>
                <c:pt idx="5">
                  <c:v>13289</c:v>
                </c:pt>
                <c:pt idx="6">
                  <c:v>11814</c:v>
                </c:pt>
                <c:pt idx="7">
                  <c:v>11953</c:v>
                </c:pt>
                <c:pt idx="8">
                  <c:v>11174</c:v>
                </c:pt>
                <c:pt idx="9">
                  <c:v>12472</c:v>
                </c:pt>
              </c:numCache>
            </c:numRef>
          </c:val>
        </c:ser>
        <c:dLbls>
          <c:showLegendKey val="0"/>
          <c:showVal val="0"/>
          <c:showCatName val="0"/>
          <c:showSerName val="0"/>
          <c:showPercent val="0"/>
          <c:showBubbleSize val="0"/>
        </c:dLbls>
        <c:gapWidth val="150"/>
        <c:axId val="39756544"/>
        <c:axId val="40217984"/>
      </c:barChart>
      <c:catAx>
        <c:axId val="39756544"/>
        <c:scaling>
          <c:orientation val="minMax"/>
        </c:scaling>
        <c:delete val="0"/>
        <c:axPos val="l"/>
        <c:majorTickMark val="out"/>
        <c:minorTickMark val="none"/>
        <c:tickLblPos val="nextTo"/>
        <c:crossAx val="40217984"/>
        <c:crosses val="autoZero"/>
        <c:auto val="1"/>
        <c:lblAlgn val="ctr"/>
        <c:lblOffset val="100"/>
        <c:noMultiLvlLbl val="0"/>
      </c:catAx>
      <c:valAx>
        <c:axId val="40217984"/>
        <c:scaling>
          <c:orientation val="minMax"/>
        </c:scaling>
        <c:delete val="0"/>
        <c:axPos val="b"/>
        <c:majorGridlines/>
        <c:numFmt formatCode="General" sourceLinked="1"/>
        <c:majorTickMark val="out"/>
        <c:minorTickMark val="none"/>
        <c:tickLblPos val="nextTo"/>
        <c:crossAx val="397565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Century Makers!PivotTable6</c:name>
    <c:fmtId val="2"/>
  </c:pivotSource>
  <c:chart>
    <c:title>
      <c:tx>
        <c:rich>
          <a:bodyPr/>
          <a:lstStyle/>
          <a:p>
            <a:pPr>
              <a:defRPr/>
            </a:pPr>
            <a:r>
              <a:rPr lang="en-US"/>
              <a:t>Top 10 Century Makers</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'Top 10 Century Makers'!$B$1</c:f>
              <c:strCache>
                <c:ptCount val="1"/>
                <c:pt idx="0">
                  <c:v>Total</c:v>
                </c:pt>
              </c:strCache>
            </c:strRef>
          </c:tx>
          <c:invertIfNegative val="0"/>
          <c:cat>
            <c:strRef>
              <c:f>'Top 10 Century Makers'!$A$2:$A$12</c:f>
              <c:strCache>
                <c:ptCount val="10"/>
                <c:pt idx="0">
                  <c:v>SR Tendulkar (INDIA)</c:v>
                </c:pt>
                <c:pt idx="1">
                  <c:v>JH Kallis (ICC/SA)</c:v>
                </c:pt>
                <c:pt idx="2">
                  <c:v>RT Ponting (AUS)</c:v>
                </c:pt>
                <c:pt idx="3">
                  <c:v>KC Sangakkara (SL)</c:v>
                </c:pt>
                <c:pt idx="4">
                  <c:v>R Dravid (ICC/INDIA)</c:v>
                </c:pt>
                <c:pt idx="5">
                  <c:v>Younis Khan (PAK)</c:v>
                </c:pt>
                <c:pt idx="6">
                  <c:v>BC Lara (ICC/WI)</c:v>
                </c:pt>
                <c:pt idx="7">
                  <c:v>SM Gavaskar (INDIA)</c:v>
                </c:pt>
                <c:pt idx="8">
                  <c:v>DPMD Jayawardene (SL)</c:v>
                </c:pt>
                <c:pt idx="9">
                  <c:v>AN Cook (ENG)</c:v>
                </c:pt>
              </c:strCache>
            </c:strRef>
          </c:cat>
          <c:val>
            <c:numRef>
              <c:f>'Top 10 Century Makers'!$B$2:$B$12</c:f>
              <c:numCache>
                <c:formatCode>General</c:formatCode>
                <c:ptCount val="10"/>
                <c:pt idx="0">
                  <c:v>51</c:v>
                </c:pt>
                <c:pt idx="1">
                  <c:v>45</c:v>
                </c:pt>
                <c:pt idx="2">
                  <c:v>41</c:v>
                </c:pt>
                <c:pt idx="3">
                  <c:v>38</c:v>
                </c:pt>
                <c:pt idx="4">
                  <c:v>36</c:v>
                </c:pt>
                <c:pt idx="5">
                  <c:v>34</c:v>
                </c:pt>
                <c:pt idx="6">
                  <c:v>34</c:v>
                </c:pt>
                <c:pt idx="7">
                  <c:v>34</c:v>
                </c:pt>
                <c:pt idx="8">
                  <c:v>34</c:v>
                </c:pt>
                <c:pt idx="9">
                  <c:v>33</c:v>
                </c:pt>
              </c:numCache>
            </c:numRef>
          </c:val>
        </c:ser>
        <c:dLbls>
          <c:showLegendKey val="0"/>
          <c:showVal val="0"/>
          <c:showCatName val="0"/>
          <c:showSerName val="0"/>
          <c:showPercent val="0"/>
          <c:showBubbleSize val="0"/>
        </c:dLbls>
        <c:gapWidth val="150"/>
        <c:axId val="40216448"/>
        <c:axId val="40231680"/>
      </c:barChart>
      <c:catAx>
        <c:axId val="40216448"/>
        <c:scaling>
          <c:orientation val="minMax"/>
        </c:scaling>
        <c:delete val="0"/>
        <c:axPos val="b"/>
        <c:majorTickMark val="out"/>
        <c:minorTickMark val="none"/>
        <c:tickLblPos val="nextTo"/>
        <c:crossAx val="40231680"/>
        <c:crosses val="autoZero"/>
        <c:auto val="1"/>
        <c:lblAlgn val="ctr"/>
        <c:lblOffset val="100"/>
        <c:noMultiLvlLbl val="0"/>
      </c:catAx>
      <c:valAx>
        <c:axId val="40231680"/>
        <c:scaling>
          <c:orientation val="minMax"/>
        </c:scaling>
        <c:delete val="0"/>
        <c:axPos val="l"/>
        <c:majorGridlines/>
        <c:numFmt formatCode="General" sourceLinked="1"/>
        <c:majorTickMark val="out"/>
        <c:minorTickMark val="none"/>
        <c:tickLblPos val="nextTo"/>
        <c:crossAx val="402164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Batting Average!PivotTable3</c:name>
    <c:fmtId val="2"/>
  </c:pivotSource>
  <c:chart>
    <c:title>
      <c:tx>
        <c:rich>
          <a:bodyPr/>
          <a:lstStyle/>
          <a:p>
            <a:pPr>
              <a:defRPr/>
            </a:pPr>
            <a:r>
              <a:rPr lang="en-US"/>
              <a:t>Top</a:t>
            </a:r>
            <a:r>
              <a:rPr lang="en-US" baseline="0"/>
              <a:t> 10 Batting Average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'Top 10 Batting Average'!$B$3</c:f>
              <c:strCache>
                <c:ptCount val="1"/>
                <c:pt idx="0">
                  <c:v>Total</c:v>
                </c:pt>
              </c:strCache>
            </c:strRef>
          </c:tx>
          <c:invertIfNegative val="0"/>
          <c:cat>
            <c:strRef>
              <c:f>'Top 10 Batting Average'!$A$4:$A$14</c:f>
              <c:strCache>
                <c:ptCount val="10"/>
                <c:pt idx="0">
                  <c:v>DG Bradman (AUS)</c:v>
                </c:pt>
                <c:pt idx="1">
                  <c:v>SPD Smith (AUS)</c:v>
                </c:pt>
                <c:pt idx="2">
                  <c:v>KF Barrington (ENG)</c:v>
                </c:pt>
                <c:pt idx="3">
                  <c:v>WR Hammond (ENG)</c:v>
                </c:pt>
                <c:pt idx="4">
                  <c:v>GS Sobers (WI)</c:v>
                </c:pt>
                <c:pt idx="5">
                  <c:v>KC Sangakkara (SL)</c:v>
                </c:pt>
                <c:pt idx="6">
                  <c:v>JB Hobbs (ENG)</c:v>
                </c:pt>
                <c:pt idx="7">
                  <c:v>L Hutton (ENG)</c:v>
                </c:pt>
                <c:pt idx="8">
                  <c:v>JH Kallis (ICC/SA)</c:v>
                </c:pt>
                <c:pt idx="9">
                  <c:v>GS Chappell (AUS)</c:v>
                </c:pt>
              </c:strCache>
            </c:strRef>
          </c:cat>
          <c:val>
            <c:numRef>
              <c:f>'Top 10 Batting Average'!$B$4:$B$14</c:f>
              <c:numCache>
                <c:formatCode>General</c:formatCode>
                <c:ptCount val="10"/>
                <c:pt idx="0">
                  <c:v>99.94</c:v>
                </c:pt>
                <c:pt idx="1">
                  <c:v>61.99</c:v>
                </c:pt>
                <c:pt idx="2">
                  <c:v>58.67</c:v>
                </c:pt>
                <c:pt idx="3">
                  <c:v>58.45</c:v>
                </c:pt>
                <c:pt idx="4">
                  <c:v>57.78</c:v>
                </c:pt>
                <c:pt idx="5">
                  <c:v>57.4</c:v>
                </c:pt>
                <c:pt idx="6">
                  <c:v>56.94</c:v>
                </c:pt>
                <c:pt idx="7">
                  <c:v>56.67</c:v>
                </c:pt>
                <c:pt idx="8">
                  <c:v>55.37</c:v>
                </c:pt>
                <c:pt idx="9">
                  <c:v>53.86</c:v>
                </c:pt>
              </c:numCache>
            </c:numRef>
          </c:val>
        </c:ser>
        <c:dLbls>
          <c:showLegendKey val="0"/>
          <c:showVal val="0"/>
          <c:showCatName val="0"/>
          <c:showSerName val="0"/>
          <c:showPercent val="0"/>
          <c:showBubbleSize val="0"/>
        </c:dLbls>
        <c:gapWidth val="150"/>
        <c:axId val="243983104"/>
        <c:axId val="243984640"/>
      </c:barChart>
      <c:catAx>
        <c:axId val="243983104"/>
        <c:scaling>
          <c:orientation val="minMax"/>
        </c:scaling>
        <c:delete val="0"/>
        <c:axPos val="l"/>
        <c:majorTickMark val="out"/>
        <c:minorTickMark val="none"/>
        <c:tickLblPos val="nextTo"/>
        <c:crossAx val="243984640"/>
        <c:crosses val="autoZero"/>
        <c:auto val="1"/>
        <c:lblAlgn val="ctr"/>
        <c:lblOffset val="100"/>
        <c:noMultiLvlLbl val="0"/>
      </c:catAx>
      <c:valAx>
        <c:axId val="243984640"/>
        <c:scaling>
          <c:orientation val="minMax"/>
        </c:scaling>
        <c:delete val="0"/>
        <c:axPos val="b"/>
        <c:majorGridlines/>
        <c:numFmt formatCode="General" sourceLinked="1"/>
        <c:majorTickMark val="out"/>
        <c:minorTickMark val="none"/>
        <c:tickLblPos val="nextTo"/>
        <c:crossAx val="2439831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Dashboard.xlsx]Top 10 Highest Individual Score!PivotTable5</c:name>
    <c:fmtId val="2"/>
  </c:pivotSource>
  <c:chart>
    <c:title>
      <c:tx>
        <c:rich>
          <a:bodyPr/>
          <a:lstStyle/>
          <a:p>
            <a:pPr>
              <a:defRPr/>
            </a:pPr>
            <a:r>
              <a:rPr lang="en-US"/>
              <a:t>Top</a:t>
            </a:r>
            <a:r>
              <a:rPr lang="en-US" baseline="0"/>
              <a:t> 10 Highest Individual Scores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'Top 10 Highest Individual Score'!$B$3</c:f>
              <c:strCache>
                <c:ptCount val="1"/>
                <c:pt idx="0">
                  <c:v>Total</c:v>
                </c:pt>
              </c:strCache>
            </c:strRef>
          </c:tx>
          <c:invertIfNegative val="0"/>
          <c:cat>
            <c:strRef>
              <c:f>'Top 10 Highest Individual Score'!$A$4:$A$14</c:f>
              <c:strCache>
                <c:ptCount val="10"/>
                <c:pt idx="0">
                  <c:v>BC Lara (ICC/WI)</c:v>
                </c:pt>
                <c:pt idx="1">
                  <c:v>ML Hayden (AUS)</c:v>
                </c:pt>
                <c:pt idx="2">
                  <c:v>DPMD Jayawardene (SL)</c:v>
                </c:pt>
                <c:pt idx="3">
                  <c:v>GS Sobers (WI)</c:v>
                </c:pt>
                <c:pt idx="4">
                  <c:v>L Hutton (ENG)</c:v>
                </c:pt>
                <c:pt idx="5">
                  <c:v>ST Jayasuriya (SL)</c:v>
                </c:pt>
                <c:pt idx="6">
                  <c:v>WR Hammond (ENG)</c:v>
                </c:pt>
                <c:pt idx="7">
                  <c:v>DA Warner (AUS)</c:v>
                </c:pt>
                <c:pt idx="8">
                  <c:v>DG Bradman (AUS)</c:v>
                </c:pt>
                <c:pt idx="9">
                  <c:v>MA Taylor (AUS)</c:v>
                </c:pt>
              </c:strCache>
            </c:strRef>
          </c:cat>
          <c:val>
            <c:numRef>
              <c:f>'Top 10 Highest Individual Score'!$B$4:$B$14</c:f>
              <c:numCache>
                <c:formatCode>General</c:formatCode>
                <c:ptCount val="10"/>
                <c:pt idx="0">
                  <c:v>400</c:v>
                </c:pt>
                <c:pt idx="1">
                  <c:v>380</c:v>
                </c:pt>
                <c:pt idx="2">
                  <c:v>374</c:v>
                </c:pt>
                <c:pt idx="3">
                  <c:v>365</c:v>
                </c:pt>
                <c:pt idx="4">
                  <c:v>364</c:v>
                </c:pt>
                <c:pt idx="5">
                  <c:v>340</c:v>
                </c:pt>
                <c:pt idx="6">
                  <c:v>336</c:v>
                </c:pt>
                <c:pt idx="7">
                  <c:v>335</c:v>
                </c:pt>
                <c:pt idx="8">
                  <c:v>334</c:v>
                </c:pt>
                <c:pt idx="9">
                  <c:v>334</c:v>
                </c:pt>
              </c:numCache>
            </c:numRef>
          </c:val>
        </c:ser>
        <c:dLbls>
          <c:showLegendKey val="0"/>
          <c:showVal val="0"/>
          <c:showCatName val="0"/>
          <c:showSerName val="0"/>
          <c:showPercent val="0"/>
          <c:showBubbleSize val="0"/>
        </c:dLbls>
        <c:gapWidth val="150"/>
        <c:axId val="40610816"/>
        <c:axId val="169149952"/>
      </c:barChart>
      <c:catAx>
        <c:axId val="40610816"/>
        <c:scaling>
          <c:orientation val="minMax"/>
        </c:scaling>
        <c:delete val="0"/>
        <c:axPos val="l"/>
        <c:majorTickMark val="out"/>
        <c:minorTickMark val="none"/>
        <c:tickLblPos val="nextTo"/>
        <c:crossAx val="169149952"/>
        <c:crosses val="autoZero"/>
        <c:auto val="1"/>
        <c:lblAlgn val="ctr"/>
        <c:lblOffset val="100"/>
        <c:noMultiLvlLbl val="0"/>
      </c:catAx>
      <c:valAx>
        <c:axId val="169149952"/>
        <c:scaling>
          <c:orientation val="minMax"/>
        </c:scaling>
        <c:delete val="0"/>
        <c:axPos val="b"/>
        <c:majorGridlines/>
        <c:numFmt formatCode="General" sourceLinked="1"/>
        <c:majorTickMark val="out"/>
        <c:minorTickMark val="none"/>
        <c:tickLblPos val="nextTo"/>
        <c:crossAx val="40610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Analysis Dashboard.xlsx]100s vs 50s Analysis!PivotTable10</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'100s vs 50s Analysis'!$B$1</c:f>
              <c:strCache>
                <c:ptCount val="1"/>
                <c:pt idx="0">
                  <c:v>Sum of 100</c:v>
                </c:pt>
              </c:strCache>
            </c:strRef>
          </c:tx>
          <c:invertIfNegative val="0"/>
          <c:cat>
            <c:strRef>
              <c:f>'100s vs 50s Analysis'!$A$2:$A$12</c:f>
              <c:strCache>
                <c:ptCount val="10"/>
                <c:pt idx="0">
                  <c:v>SR Tendulkar (INDIA)</c:v>
                </c:pt>
                <c:pt idx="1">
                  <c:v>JH Kallis (ICC/SA)</c:v>
                </c:pt>
                <c:pt idx="2">
                  <c:v>RT Ponting (AUS)</c:v>
                </c:pt>
                <c:pt idx="3">
                  <c:v>KC Sangakkara (SL)</c:v>
                </c:pt>
                <c:pt idx="4">
                  <c:v>R Dravid (ICC/INDIA)</c:v>
                </c:pt>
                <c:pt idx="5">
                  <c:v>Younis Khan (PAK)</c:v>
                </c:pt>
                <c:pt idx="6">
                  <c:v>BC Lara (ICC/WI)</c:v>
                </c:pt>
                <c:pt idx="7">
                  <c:v>SM Gavaskar (INDIA)</c:v>
                </c:pt>
                <c:pt idx="8">
                  <c:v>DPMD Jayawardene (SL)</c:v>
                </c:pt>
                <c:pt idx="9">
                  <c:v>AN Cook (ENG)</c:v>
                </c:pt>
              </c:strCache>
            </c:strRef>
          </c:cat>
          <c:val>
            <c:numRef>
              <c:f>'100s vs 50s Analysis'!$B$2:$B$12</c:f>
              <c:numCache>
                <c:formatCode>General</c:formatCode>
                <c:ptCount val="10"/>
                <c:pt idx="0">
                  <c:v>51</c:v>
                </c:pt>
                <c:pt idx="1">
                  <c:v>45</c:v>
                </c:pt>
                <c:pt idx="2">
                  <c:v>41</c:v>
                </c:pt>
                <c:pt idx="3">
                  <c:v>38</c:v>
                </c:pt>
                <c:pt idx="4">
                  <c:v>36</c:v>
                </c:pt>
                <c:pt idx="5">
                  <c:v>34</c:v>
                </c:pt>
                <c:pt idx="6">
                  <c:v>34</c:v>
                </c:pt>
                <c:pt idx="7">
                  <c:v>34</c:v>
                </c:pt>
                <c:pt idx="8">
                  <c:v>34</c:v>
                </c:pt>
                <c:pt idx="9">
                  <c:v>33</c:v>
                </c:pt>
              </c:numCache>
            </c:numRef>
          </c:val>
        </c:ser>
        <c:ser>
          <c:idx val="1"/>
          <c:order val="1"/>
          <c:tx>
            <c:strRef>
              <c:f>'100s vs 50s Analysis'!$C$1</c:f>
              <c:strCache>
                <c:ptCount val="1"/>
                <c:pt idx="0">
                  <c:v>Sum of 50</c:v>
                </c:pt>
              </c:strCache>
            </c:strRef>
          </c:tx>
          <c:invertIfNegative val="0"/>
          <c:cat>
            <c:strRef>
              <c:f>'100s vs 50s Analysis'!$A$2:$A$12</c:f>
              <c:strCache>
                <c:ptCount val="10"/>
                <c:pt idx="0">
                  <c:v>SR Tendulkar (INDIA)</c:v>
                </c:pt>
                <c:pt idx="1">
                  <c:v>JH Kallis (ICC/SA)</c:v>
                </c:pt>
                <c:pt idx="2">
                  <c:v>RT Ponting (AUS)</c:v>
                </c:pt>
                <c:pt idx="3">
                  <c:v>KC Sangakkara (SL)</c:v>
                </c:pt>
                <c:pt idx="4">
                  <c:v>R Dravid (ICC/INDIA)</c:v>
                </c:pt>
                <c:pt idx="5">
                  <c:v>Younis Khan (PAK)</c:v>
                </c:pt>
                <c:pt idx="6">
                  <c:v>BC Lara (ICC/WI)</c:v>
                </c:pt>
                <c:pt idx="7">
                  <c:v>SM Gavaskar (INDIA)</c:v>
                </c:pt>
                <c:pt idx="8">
                  <c:v>DPMD Jayawardene (SL)</c:v>
                </c:pt>
                <c:pt idx="9">
                  <c:v>AN Cook (ENG)</c:v>
                </c:pt>
              </c:strCache>
            </c:strRef>
          </c:cat>
          <c:val>
            <c:numRef>
              <c:f>'100s vs 50s Analysis'!$C$2:$C$12</c:f>
              <c:numCache>
                <c:formatCode>General</c:formatCode>
                <c:ptCount val="10"/>
                <c:pt idx="0">
                  <c:v>68</c:v>
                </c:pt>
                <c:pt idx="1">
                  <c:v>58</c:v>
                </c:pt>
                <c:pt idx="2">
                  <c:v>62</c:v>
                </c:pt>
                <c:pt idx="3">
                  <c:v>52</c:v>
                </c:pt>
                <c:pt idx="4">
                  <c:v>63</c:v>
                </c:pt>
                <c:pt idx="5">
                  <c:v>33</c:v>
                </c:pt>
                <c:pt idx="6">
                  <c:v>48</c:v>
                </c:pt>
                <c:pt idx="7">
                  <c:v>45</c:v>
                </c:pt>
                <c:pt idx="8">
                  <c:v>50</c:v>
                </c:pt>
                <c:pt idx="9">
                  <c:v>57</c:v>
                </c:pt>
              </c:numCache>
            </c:numRef>
          </c:val>
        </c:ser>
        <c:dLbls>
          <c:showLegendKey val="0"/>
          <c:showVal val="0"/>
          <c:showCatName val="0"/>
          <c:showSerName val="0"/>
          <c:showPercent val="0"/>
          <c:showBubbleSize val="0"/>
        </c:dLbls>
        <c:gapWidth val="150"/>
        <c:axId val="40467456"/>
        <c:axId val="40609664"/>
      </c:barChart>
      <c:catAx>
        <c:axId val="40467456"/>
        <c:scaling>
          <c:orientation val="minMax"/>
        </c:scaling>
        <c:delete val="0"/>
        <c:axPos val="b"/>
        <c:majorTickMark val="out"/>
        <c:minorTickMark val="none"/>
        <c:tickLblPos val="nextTo"/>
        <c:crossAx val="40609664"/>
        <c:crosses val="autoZero"/>
        <c:auto val="1"/>
        <c:lblAlgn val="ctr"/>
        <c:lblOffset val="100"/>
        <c:noMultiLvlLbl val="0"/>
      </c:catAx>
      <c:valAx>
        <c:axId val="40609664"/>
        <c:scaling>
          <c:orientation val="minMax"/>
        </c:scaling>
        <c:delete val="0"/>
        <c:axPos val="l"/>
        <c:majorGridlines/>
        <c:numFmt formatCode="General" sourceLinked="1"/>
        <c:majorTickMark val="out"/>
        <c:minorTickMark val="none"/>
        <c:tickLblPos val="nextTo"/>
        <c:crossAx val="404674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739775</xdr:colOff>
      <xdr:row>3</xdr:row>
      <xdr:rowOff>98425</xdr:rowOff>
    </xdr:from>
    <xdr:to>
      <xdr:col>8</xdr:col>
      <xdr:colOff>739775</xdr:colOff>
      <xdr:row>12</xdr:row>
      <xdr:rowOff>98425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31750</xdr:colOff>
      <xdr:row>2</xdr:row>
      <xdr:rowOff>63500</xdr:rowOff>
    </xdr:from>
    <xdr:to>
      <xdr:col>12</xdr:col>
      <xdr:colOff>336550</xdr:colOff>
      <xdr:row>12</xdr:row>
      <xdr:rowOff>291036</xdr:rowOff>
    </xdr:to>
    <mc:AlternateContent xmlns:mc="http://schemas.openxmlformats.org/markup-compatibility/2006">
      <mc:Choice xmlns:a14="http://schemas.microsoft.com/office/drawing/2010/main" Requires="a14">
        <xdr:graphicFrame macro="">
          <xdr:nvGraphicFramePr>
            <xdr:cNvPr id="3" name="Playe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dr:sp macro="" textlink="">
          <xdr:nvSpPr>
            <xdr:cNvPr id="0" name=""/>
            <xdr:cNvSpPr>
              <a:spLocks noTextEdit="1"/>
            </xdr:cNvSpPr>
          </xdr:nvSpPr>
          <xdr:spPr>
            <a:xfrm>
              <a:off x="8915400" y="673100"/>
              <a:ext cx="1828800" cy="3275536"/>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511175</xdr:colOff>
      <xdr:row>3</xdr:row>
      <xdr:rowOff>98425</xdr:rowOff>
    </xdr:from>
    <xdr:to>
      <xdr:col>8</xdr:col>
      <xdr:colOff>511175</xdr:colOff>
      <xdr:row>12</xdr:row>
      <xdr:rowOff>98425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460375</xdr:colOff>
      <xdr:row>3</xdr:row>
      <xdr:rowOff>53975</xdr:rowOff>
    </xdr:from>
    <xdr:to>
      <xdr:col>8</xdr:col>
      <xdr:colOff>460375</xdr:colOff>
      <xdr:row>12</xdr:row>
      <xdr:rowOff>53975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111125</xdr:colOff>
      <xdr:row>2</xdr:row>
      <xdr:rowOff>250825</xdr:rowOff>
    </xdr:from>
    <xdr:to>
      <xdr:col>9</xdr:col>
      <xdr:colOff>111125</xdr:colOff>
      <xdr:row>11</xdr:row>
      <xdr:rowOff>250825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695325</xdr:colOff>
      <xdr:row>2</xdr:row>
      <xdr:rowOff>117475</xdr:rowOff>
    </xdr:from>
    <xdr:to>
      <xdr:col>8</xdr:col>
      <xdr:colOff>695325</xdr:colOff>
      <xdr:row>11</xdr:row>
      <xdr:rowOff>117475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555625</xdr:colOff>
      <xdr:row>3</xdr:row>
      <xdr:rowOff>187325</xdr:rowOff>
    </xdr:from>
    <xdr:to>
      <xdr:col>8</xdr:col>
      <xdr:colOff>555625</xdr:colOff>
      <xdr:row>12</xdr:row>
      <xdr:rowOff>187325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758825</xdr:colOff>
      <xdr:row>3</xdr:row>
      <xdr:rowOff>34925</xdr:rowOff>
    </xdr:from>
    <xdr:to>
      <xdr:col>9</xdr:col>
      <xdr:colOff>758825</xdr:colOff>
      <xdr:row>12</xdr:row>
      <xdr:rowOff>34925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422275</xdr:colOff>
      <xdr:row>1</xdr:row>
      <xdr:rowOff>111125</xdr:rowOff>
    </xdr:from>
    <xdr:to>
      <xdr:col>9</xdr:col>
      <xdr:colOff>422275</xdr:colOff>
      <xdr:row>10</xdr:row>
      <xdr:rowOff>111125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3</xdr:row>
      <xdr:rowOff>6350</xdr:rowOff>
    </xdr:from>
    <xdr:to>
      <xdr:col>1</xdr:col>
      <xdr:colOff>368300</xdr:colOff>
      <xdr:row>5</xdr:row>
      <xdr:rowOff>12700</xdr:rowOff>
    </xdr:to>
    <xdr:sp macro="" textlink="">
      <xdr:nvSpPr>
        <xdr:cNvPr id="2" name="Rectangle 1"/>
        <xdr:cNvSpPr/>
      </xdr:nvSpPr>
      <xdr:spPr>
        <a:xfrm>
          <a:off x="63500" y="920750"/>
          <a:ext cx="10668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a:t>
          </a:r>
          <a:r>
            <a:rPr lang="en-US" sz="1100" baseline="0"/>
            <a:t> PLAYERS</a:t>
          </a:r>
          <a:endParaRPr lang="mr-IN" sz="1100"/>
        </a:p>
      </xdr:txBody>
    </xdr:sp>
    <xdr:clientData/>
  </xdr:twoCellAnchor>
  <xdr:twoCellAnchor>
    <xdr:from>
      <xdr:col>1</xdr:col>
      <xdr:colOff>364977</xdr:colOff>
      <xdr:row>3</xdr:row>
      <xdr:rowOff>292100</xdr:rowOff>
    </xdr:from>
    <xdr:to>
      <xdr:col>1</xdr:col>
      <xdr:colOff>657373</xdr:colOff>
      <xdr:row>4</xdr:row>
      <xdr:rowOff>33019</xdr:rowOff>
    </xdr:to>
    <xdr:sp macro="" textlink="">
      <xdr:nvSpPr>
        <xdr:cNvPr id="3" name="Right Arrow 2"/>
        <xdr:cNvSpPr/>
      </xdr:nvSpPr>
      <xdr:spPr>
        <a:xfrm>
          <a:off x="1126977" y="1206500"/>
          <a:ext cx="292396"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xdr:from>
      <xdr:col>1</xdr:col>
      <xdr:colOff>679450</xdr:colOff>
      <xdr:row>3</xdr:row>
      <xdr:rowOff>44450</xdr:rowOff>
    </xdr:from>
    <xdr:to>
      <xdr:col>3</xdr:col>
      <xdr:colOff>247650</xdr:colOff>
      <xdr:row>4</xdr:row>
      <xdr:rowOff>254000</xdr:rowOff>
    </xdr:to>
    <xdr:sp macro="" textlink="KPI!D3">
      <xdr:nvSpPr>
        <xdr:cNvPr id="4" name="Oval 3"/>
        <xdr:cNvSpPr/>
      </xdr:nvSpPr>
      <xdr:spPr>
        <a:xfrm>
          <a:off x="1441450" y="958850"/>
          <a:ext cx="1092200" cy="514350"/>
        </a:xfrm>
        <a:prstGeom prst="ellips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D1A2A79-72BE-4849-8F36-216CCF8FE6A7}" type="TxLink">
            <a:rPr lang="en-US" sz="1400">
              <a:solidFill>
                <a:schemeClr val="tx1"/>
              </a:solidFill>
            </a:rPr>
            <a:pPr algn="ctr"/>
            <a:t>97</a:t>
          </a:fld>
          <a:endParaRPr lang="mr-IN" sz="1400">
            <a:solidFill>
              <a:schemeClr val="tx1"/>
            </a:solidFill>
          </a:endParaRPr>
        </a:p>
      </xdr:txBody>
    </xdr:sp>
    <xdr:clientData/>
  </xdr:twoCellAnchor>
  <xdr:oneCellAnchor>
    <xdr:from>
      <xdr:col>2</xdr:col>
      <xdr:colOff>95250</xdr:colOff>
      <xdr:row>3</xdr:row>
      <xdr:rowOff>152400</xdr:rowOff>
    </xdr:from>
    <xdr:ext cx="184731" cy="501548"/>
    <xdr:sp macro="" textlink="">
      <xdr:nvSpPr>
        <xdr:cNvPr id="5" name="TextBox 4"/>
        <xdr:cNvSpPr txBox="1"/>
      </xdr:nvSpPr>
      <xdr:spPr>
        <a:xfrm>
          <a:off x="1619250" y="1066800"/>
          <a:ext cx="184731" cy="5015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a:p>
          <a:endParaRPr lang="mr-IN" sz="1100"/>
        </a:p>
      </xdr:txBody>
    </xdr:sp>
    <xdr:clientData/>
  </xdr:oneCellAnchor>
  <xdr:twoCellAnchor>
    <xdr:from>
      <xdr:col>0</xdr:col>
      <xdr:colOff>70145</xdr:colOff>
      <xdr:row>3</xdr:row>
      <xdr:rowOff>6350</xdr:rowOff>
    </xdr:from>
    <xdr:to>
      <xdr:col>1</xdr:col>
      <xdr:colOff>399755</xdr:colOff>
      <xdr:row>5</xdr:row>
      <xdr:rowOff>12700</xdr:rowOff>
    </xdr:to>
    <xdr:sp macro="" textlink="">
      <xdr:nvSpPr>
        <xdr:cNvPr id="6" name="Rectangle 5"/>
        <xdr:cNvSpPr/>
      </xdr:nvSpPr>
      <xdr:spPr>
        <a:xfrm>
          <a:off x="70145" y="920750"/>
          <a:ext cx="109161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a:t>
          </a:r>
          <a:r>
            <a:rPr lang="en-US" sz="1100" b="1" baseline="0"/>
            <a:t> PLAYERS</a:t>
          </a:r>
          <a:endParaRPr lang="mr-IN" sz="1100" b="1"/>
        </a:p>
      </xdr:txBody>
    </xdr:sp>
    <xdr:clientData/>
  </xdr:twoCellAnchor>
  <xdr:twoCellAnchor>
    <xdr:from>
      <xdr:col>1</xdr:col>
      <xdr:colOff>685800</xdr:colOff>
      <xdr:row>3</xdr:row>
      <xdr:rowOff>44450</xdr:rowOff>
    </xdr:from>
    <xdr:to>
      <xdr:col>3</xdr:col>
      <xdr:colOff>279400</xdr:colOff>
      <xdr:row>4</xdr:row>
      <xdr:rowOff>254000</xdr:rowOff>
    </xdr:to>
    <xdr:sp macro="" textlink="KPI!D3">
      <xdr:nvSpPr>
        <xdr:cNvPr id="7" name="Oval 6"/>
        <xdr:cNvSpPr/>
      </xdr:nvSpPr>
      <xdr:spPr>
        <a:xfrm>
          <a:off x="1447800" y="958850"/>
          <a:ext cx="1117600" cy="514350"/>
        </a:xfrm>
        <a:prstGeom prst="ellips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D1A2A79-72BE-4849-8F36-216CCF8FE6A7}" type="TxLink">
            <a:rPr lang="en-US" sz="1400">
              <a:solidFill>
                <a:schemeClr val="tx1"/>
              </a:solidFill>
            </a:rPr>
            <a:pPr algn="ctr"/>
            <a:t>97</a:t>
          </a:fld>
          <a:endParaRPr lang="mr-IN" sz="1400">
            <a:solidFill>
              <a:schemeClr val="tx1"/>
            </a:solidFill>
          </a:endParaRPr>
        </a:p>
      </xdr:txBody>
    </xdr:sp>
    <xdr:clientData/>
  </xdr:twoCellAnchor>
  <xdr:twoCellAnchor>
    <xdr:from>
      <xdr:col>4</xdr:col>
      <xdr:colOff>673100</xdr:colOff>
      <xdr:row>3</xdr:row>
      <xdr:rowOff>292100</xdr:rowOff>
    </xdr:from>
    <xdr:to>
      <xdr:col>5</xdr:col>
      <xdr:colOff>196850</xdr:colOff>
      <xdr:row>4</xdr:row>
      <xdr:rowOff>33019</xdr:rowOff>
    </xdr:to>
    <xdr:sp macro="" textlink="">
      <xdr:nvSpPr>
        <xdr:cNvPr id="12" name="Right Arrow 11"/>
        <xdr:cNvSpPr/>
      </xdr:nvSpPr>
      <xdr:spPr>
        <a:xfrm>
          <a:off x="3721100" y="1206500"/>
          <a:ext cx="2857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xdr:from>
      <xdr:col>3</xdr:col>
      <xdr:colOff>387350</xdr:colOff>
      <xdr:row>3</xdr:row>
      <xdr:rowOff>6350</xdr:rowOff>
    </xdr:from>
    <xdr:to>
      <xdr:col>4</xdr:col>
      <xdr:colOff>692150</xdr:colOff>
      <xdr:row>5</xdr:row>
      <xdr:rowOff>12700</xdr:rowOff>
    </xdr:to>
    <xdr:sp macro="" textlink="">
      <xdr:nvSpPr>
        <xdr:cNvPr id="13" name="Rectangle 12"/>
        <xdr:cNvSpPr/>
      </xdr:nvSpPr>
      <xdr:spPr>
        <a:xfrm>
          <a:off x="2673350" y="920750"/>
          <a:ext cx="10668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a:t>
          </a:r>
          <a:r>
            <a:rPr lang="en-US" sz="1100" b="1" baseline="0"/>
            <a:t> MATCHES</a:t>
          </a:r>
          <a:endParaRPr lang="mr-IN" sz="1100" b="1"/>
        </a:p>
      </xdr:txBody>
    </xdr:sp>
    <xdr:clientData/>
  </xdr:twoCellAnchor>
  <xdr:twoCellAnchor>
    <xdr:from>
      <xdr:col>5</xdr:col>
      <xdr:colOff>234950</xdr:colOff>
      <xdr:row>3</xdr:row>
      <xdr:rowOff>25400</xdr:rowOff>
    </xdr:from>
    <xdr:to>
      <xdr:col>6</xdr:col>
      <xdr:colOff>565150</xdr:colOff>
      <xdr:row>4</xdr:row>
      <xdr:rowOff>234950</xdr:rowOff>
    </xdr:to>
    <xdr:sp macro="" textlink="KPI!D5">
      <xdr:nvSpPr>
        <xdr:cNvPr id="14" name="Oval 13"/>
        <xdr:cNvSpPr/>
      </xdr:nvSpPr>
      <xdr:spPr>
        <a:xfrm>
          <a:off x="4044950" y="939800"/>
          <a:ext cx="1092200" cy="514350"/>
        </a:xfrm>
        <a:prstGeom prst="ellips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36527D4-101E-4513-9FEA-7C4866E7DF30}" type="TxLink">
            <a:rPr lang="en-US" sz="1400">
              <a:solidFill>
                <a:schemeClr val="tx1"/>
              </a:solidFill>
            </a:rPr>
            <a:pPr algn="ctr"/>
            <a:t>9937</a:t>
          </a:fld>
          <a:endParaRPr lang="mr-IN" sz="1400">
            <a:solidFill>
              <a:schemeClr val="tx1"/>
            </a:solidFill>
          </a:endParaRPr>
        </a:p>
      </xdr:txBody>
    </xdr:sp>
    <xdr:clientData/>
  </xdr:twoCellAnchor>
  <xdr:twoCellAnchor>
    <xdr:from>
      <xdr:col>8</xdr:col>
      <xdr:colOff>209550</xdr:colOff>
      <xdr:row>3</xdr:row>
      <xdr:rowOff>292100</xdr:rowOff>
    </xdr:from>
    <xdr:to>
      <xdr:col>8</xdr:col>
      <xdr:colOff>495300</xdr:colOff>
      <xdr:row>4</xdr:row>
      <xdr:rowOff>33019</xdr:rowOff>
    </xdr:to>
    <xdr:sp macro="" textlink="">
      <xdr:nvSpPr>
        <xdr:cNvPr id="15" name="Right Arrow 14"/>
        <xdr:cNvSpPr/>
      </xdr:nvSpPr>
      <xdr:spPr>
        <a:xfrm>
          <a:off x="6305550" y="1206500"/>
          <a:ext cx="2857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xdr:from>
      <xdr:col>6</xdr:col>
      <xdr:colOff>685800</xdr:colOff>
      <xdr:row>3</xdr:row>
      <xdr:rowOff>6350</xdr:rowOff>
    </xdr:from>
    <xdr:to>
      <xdr:col>8</xdr:col>
      <xdr:colOff>228600</xdr:colOff>
      <xdr:row>5</xdr:row>
      <xdr:rowOff>12700</xdr:rowOff>
    </xdr:to>
    <xdr:sp macro="" textlink="">
      <xdr:nvSpPr>
        <xdr:cNvPr id="16" name="Rectangle 15"/>
        <xdr:cNvSpPr/>
      </xdr:nvSpPr>
      <xdr:spPr>
        <a:xfrm>
          <a:off x="5257800" y="920750"/>
          <a:ext cx="10668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a:t>
          </a:r>
          <a:r>
            <a:rPr lang="en-US" sz="1100" baseline="0"/>
            <a:t> </a:t>
          </a:r>
          <a:r>
            <a:rPr lang="en-US" sz="1100" b="1" baseline="0"/>
            <a:t>RUNS</a:t>
          </a:r>
          <a:endParaRPr lang="mr-IN" sz="1100" b="1"/>
        </a:p>
      </xdr:txBody>
    </xdr:sp>
    <xdr:clientData/>
  </xdr:twoCellAnchor>
  <xdr:twoCellAnchor>
    <xdr:from>
      <xdr:col>8</xdr:col>
      <xdr:colOff>527050</xdr:colOff>
      <xdr:row>3</xdr:row>
      <xdr:rowOff>31750</xdr:rowOff>
    </xdr:from>
    <xdr:to>
      <xdr:col>10</xdr:col>
      <xdr:colOff>95250</xdr:colOff>
      <xdr:row>4</xdr:row>
      <xdr:rowOff>241300</xdr:rowOff>
    </xdr:to>
    <xdr:sp macro="" textlink="KPI!D7">
      <xdr:nvSpPr>
        <xdr:cNvPr id="17" name="Oval 16"/>
        <xdr:cNvSpPr/>
      </xdr:nvSpPr>
      <xdr:spPr>
        <a:xfrm>
          <a:off x="6623050" y="946150"/>
          <a:ext cx="1092200" cy="514350"/>
        </a:xfrm>
        <a:prstGeom prst="ellips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36E0649-F129-4563-BBB3-6E7E8BA7A5D0}" type="TxLink">
            <a:rPr lang="en-US" sz="1400">
              <a:solidFill>
                <a:schemeClr val="tx1"/>
              </a:solidFill>
            </a:rPr>
            <a:pPr algn="ctr"/>
            <a:t>736782</a:t>
          </a:fld>
          <a:endParaRPr lang="mr-IN" sz="1400">
            <a:solidFill>
              <a:schemeClr val="tx1"/>
            </a:solidFill>
          </a:endParaRPr>
        </a:p>
      </xdr:txBody>
    </xdr:sp>
    <xdr:clientData/>
  </xdr:twoCellAnchor>
  <xdr:twoCellAnchor>
    <xdr:from>
      <xdr:col>1</xdr:col>
      <xdr:colOff>323850</xdr:colOff>
      <xdr:row>6</xdr:row>
      <xdr:rowOff>234950</xdr:rowOff>
    </xdr:from>
    <xdr:to>
      <xdr:col>1</xdr:col>
      <xdr:colOff>609600</xdr:colOff>
      <xdr:row>6</xdr:row>
      <xdr:rowOff>280669</xdr:rowOff>
    </xdr:to>
    <xdr:sp macro="" textlink="">
      <xdr:nvSpPr>
        <xdr:cNvPr id="18" name="Right Arrow 17"/>
        <xdr:cNvSpPr/>
      </xdr:nvSpPr>
      <xdr:spPr>
        <a:xfrm>
          <a:off x="1085850" y="2063750"/>
          <a:ext cx="2857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xdr:from>
      <xdr:col>0</xdr:col>
      <xdr:colOff>38100</xdr:colOff>
      <xdr:row>5</xdr:row>
      <xdr:rowOff>254000</xdr:rowOff>
    </xdr:from>
    <xdr:to>
      <xdr:col>1</xdr:col>
      <xdr:colOff>342900</xdr:colOff>
      <xdr:row>7</xdr:row>
      <xdr:rowOff>260350</xdr:rowOff>
    </xdr:to>
    <xdr:sp macro="" textlink="">
      <xdr:nvSpPr>
        <xdr:cNvPr id="19" name="Rectangle 18"/>
        <xdr:cNvSpPr/>
      </xdr:nvSpPr>
      <xdr:spPr>
        <a:xfrm>
          <a:off x="38100" y="1778000"/>
          <a:ext cx="10668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CENTURIES</a:t>
          </a:r>
          <a:endParaRPr lang="mr-IN" sz="1100" b="1"/>
        </a:p>
      </xdr:txBody>
    </xdr:sp>
    <xdr:clientData/>
  </xdr:twoCellAnchor>
  <xdr:twoCellAnchor>
    <xdr:from>
      <xdr:col>1</xdr:col>
      <xdr:colOff>641350</xdr:colOff>
      <xdr:row>5</xdr:row>
      <xdr:rowOff>279400</xdr:rowOff>
    </xdr:from>
    <xdr:to>
      <xdr:col>3</xdr:col>
      <xdr:colOff>209550</xdr:colOff>
      <xdr:row>7</xdr:row>
      <xdr:rowOff>184150</xdr:rowOff>
    </xdr:to>
    <xdr:sp macro="" textlink="KPI!D9">
      <xdr:nvSpPr>
        <xdr:cNvPr id="20" name="Oval 19"/>
        <xdr:cNvSpPr/>
      </xdr:nvSpPr>
      <xdr:spPr>
        <a:xfrm>
          <a:off x="1403350" y="1803400"/>
          <a:ext cx="1092200" cy="514350"/>
        </a:xfrm>
        <a:prstGeom prst="ellips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0D91694-813A-41FA-987F-C2945131353C}" type="TxLink">
            <a:rPr lang="en-US" sz="1400">
              <a:solidFill>
                <a:schemeClr val="tx1"/>
              </a:solidFill>
            </a:rPr>
            <a:pPr algn="ctr"/>
            <a:t>1997</a:t>
          </a:fld>
          <a:endParaRPr lang="mr-IN" sz="1400">
            <a:solidFill>
              <a:schemeClr val="tx1"/>
            </a:solidFill>
          </a:endParaRPr>
        </a:p>
      </xdr:txBody>
    </xdr:sp>
    <xdr:clientData/>
  </xdr:twoCellAnchor>
  <xdr:twoCellAnchor>
    <xdr:from>
      <xdr:col>4</xdr:col>
      <xdr:colOff>660400</xdr:colOff>
      <xdr:row>6</xdr:row>
      <xdr:rowOff>234950</xdr:rowOff>
    </xdr:from>
    <xdr:to>
      <xdr:col>5</xdr:col>
      <xdr:colOff>184150</xdr:colOff>
      <xdr:row>6</xdr:row>
      <xdr:rowOff>280669</xdr:rowOff>
    </xdr:to>
    <xdr:sp macro="" textlink="">
      <xdr:nvSpPr>
        <xdr:cNvPr id="39" name="Right Arrow 38"/>
        <xdr:cNvSpPr/>
      </xdr:nvSpPr>
      <xdr:spPr>
        <a:xfrm>
          <a:off x="3708400" y="2063750"/>
          <a:ext cx="2857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xdr:from>
      <xdr:col>3</xdr:col>
      <xdr:colOff>374650</xdr:colOff>
      <xdr:row>5</xdr:row>
      <xdr:rowOff>254000</xdr:rowOff>
    </xdr:from>
    <xdr:to>
      <xdr:col>4</xdr:col>
      <xdr:colOff>679450</xdr:colOff>
      <xdr:row>7</xdr:row>
      <xdr:rowOff>260350</xdr:rowOff>
    </xdr:to>
    <xdr:sp macro="" textlink="">
      <xdr:nvSpPr>
        <xdr:cNvPr id="40" name="Rectangle 39"/>
        <xdr:cNvSpPr/>
      </xdr:nvSpPr>
      <xdr:spPr>
        <a:xfrm>
          <a:off x="2660650" y="1778000"/>
          <a:ext cx="10668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HALF</a:t>
          </a:r>
          <a:r>
            <a:rPr lang="en-US" sz="1100" b="1" baseline="0"/>
            <a:t> CENTURIES</a:t>
          </a:r>
          <a:endParaRPr lang="mr-IN" sz="1100" b="1"/>
        </a:p>
      </xdr:txBody>
    </xdr:sp>
    <xdr:clientData/>
  </xdr:twoCellAnchor>
  <xdr:twoCellAnchor>
    <xdr:from>
      <xdr:col>5</xdr:col>
      <xdr:colOff>215900</xdr:colOff>
      <xdr:row>5</xdr:row>
      <xdr:rowOff>279400</xdr:rowOff>
    </xdr:from>
    <xdr:to>
      <xdr:col>6</xdr:col>
      <xdr:colOff>546100</xdr:colOff>
      <xdr:row>7</xdr:row>
      <xdr:rowOff>184150</xdr:rowOff>
    </xdr:to>
    <xdr:sp macro="" textlink="KPI!D11">
      <xdr:nvSpPr>
        <xdr:cNvPr id="41" name="Oval 40"/>
        <xdr:cNvSpPr/>
      </xdr:nvSpPr>
      <xdr:spPr>
        <a:xfrm>
          <a:off x="4025900" y="1803400"/>
          <a:ext cx="1092200" cy="514350"/>
        </a:xfrm>
        <a:prstGeom prst="ellips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CAA2B8-9483-4DAF-9900-C9C2EC1E2934}" type="TxLink">
            <a:rPr lang="en-US" sz="1400">
              <a:solidFill>
                <a:schemeClr val="tx1"/>
              </a:solidFill>
            </a:rPr>
            <a:pPr algn="ctr"/>
            <a:t>3453</a:t>
          </a:fld>
          <a:endParaRPr lang="mr-IN" sz="1400">
            <a:solidFill>
              <a:schemeClr val="tx1"/>
            </a:solidFill>
          </a:endParaRPr>
        </a:p>
      </xdr:txBody>
    </xdr:sp>
    <xdr:clientData/>
  </xdr:twoCellAnchor>
  <xdr:twoCellAnchor>
    <xdr:from>
      <xdr:col>8</xdr:col>
      <xdr:colOff>196850</xdr:colOff>
      <xdr:row>6</xdr:row>
      <xdr:rowOff>234950</xdr:rowOff>
    </xdr:from>
    <xdr:to>
      <xdr:col>8</xdr:col>
      <xdr:colOff>482600</xdr:colOff>
      <xdr:row>6</xdr:row>
      <xdr:rowOff>280669</xdr:rowOff>
    </xdr:to>
    <xdr:sp macro="" textlink="">
      <xdr:nvSpPr>
        <xdr:cNvPr id="42" name="Right Arrow 41"/>
        <xdr:cNvSpPr/>
      </xdr:nvSpPr>
      <xdr:spPr>
        <a:xfrm>
          <a:off x="6292850" y="2063750"/>
          <a:ext cx="285750"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mr-IN" sz="1100"/>
        </a:p>
      </xdr:txBody>
    </xdr:sp>
    <xdr:clientData/>
  </xdr:twoCellAnchor>
  <xdr:twoCellAnchor>
    <xdr:from>
      <xdr:col>6</xdr:col>
      <xdr:colOff>673100</xdr:colOff>
      <xdr:row>5</xdr:row>
      <xdr:rowOff>254000</xdr:rowOff>
    </xdr:from>
    <xdr:to>
      <xdr:col>8</xdr:col>
      <xdr:colOff>215900</xdr:colOff>
      <xdr:row>7</xdr:row>
      <xdr:rowOff>260350</xdr:rowOff>
    </xdr:to>
    <xdr:sp macro="" textlink="">
      <xdr:nvSpPr>
        <xdr:cNvPr id="43" name="Rectangle 42"/>
        <xdr:cNvSpPr/>
      </xdr:nvSpPr>
      <xdr:spPr>
        <a:xfrm>
          <a:off x="5245100" y="1778000"/>
          <a:ext cx="10668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HIGHEST</a:t>
          </a:r>
          <a:r>
            <a:rPr lang="en-US" sz="1100" b="1" baseline="0"/>
            <a:t> SCORE</a:t>
          </a:r>
          <a:endParaRPr lang="mr-IN" sz="1100" b="1"/>
        </a:p>
      </xdr:txBody>
    </xdr:sp>
    <xdr:clientData/>
  </xdr:twoCellAnchor>
  <xdr:twoCellAnchor>
    <xdr:from>
      <xdr:col>8</xdr:col>
      <xdr:colOff>514350</xdr:colOff>
      <xdr:row>5</xdr:row>
      <xdr:rowOff>279400</xdr:rowOff>
    </xdr:from>
    <xdr:to>
      <xdr:col>10</xdr:col>
      <xdr:colOff>82550</xdr:colOff>
      <xdr:row>7</xdr:row>
      <xdr:rowOff>184150</xdr:rowOff>
    </xdr:to>
    <xdr:sp macro="" textlink="KPI!D13">
      <xdr:nvSpPr>
        <xdr:cNvPr id="44" name="Oval 43"/>
        <xdr:cNvSpPr/>
      </xdr:nvSpPr>
      <xdr:spPr>
        <a:xfrm>
          <a:off x="6610350" y="1803400"/>
          <a:ext cx="1092200" cy="514350"/>
        </a:xfrm>
        <a:prstGeom prst="ellipse">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529E3AA-EA7A-45E7-A0DF-061885D5BF39}" type="TxLink">
            <a:rPr lang="en-US" sz="1400">
              <a:solidFill>
                <a:schemeClr val="tx1"/>
              </a:solidFill>
            </a:rPr>
            <a:pPr algn="ctr"/>
            <a:t>400</a:t>
          </a:fld>
          <a:endParaRPr lang="mr-IN" sz="1400">
            <a:solidFill>
              <a:schemeClr val="tx1"/>
            </a:solidFill>
          </a:endParaRPr>
        </a:p>
      </xdr:txBody>
    </xdr:sp>
    <xdr:clientData/>
  </xdr:twoCellAnchor>
  <xdr:twoCellAnchor>
    <xdr:from>
      <xdr:col>0</xdr:col>
      <xdr:colOff>6350</xdr:colOff>
      <xdr:row>8</xdr:row>
      <xdr:rowOff>44450</xdr:rowOff>
    </xdr:from>
    <xdr:to>
      <xdr:col>6</xdr:col>
      <xdr:colOff>6350</xdr:colOff>
      <xdr:row>17</xdr:row>
      <xdr:rowOff>44450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8</xdr:row>
      <xdr:rowOff>50800</xdr:rowOff>
    </xdr:from>
    <xdr:to>
      <xdr:col>12</xdr:col>
      <xdr:colOff>38100</xdr:colOff>
      <xdr:row>17</xdr:row>
      <xdr:rowOff>50800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17</xdr:row>
      <xdr:rowOff>88900</xdr:rowOff>
    </xdr:from>
    <xdr:to>
      <xdr:col>6</xdr:col>
      <xdr:colOff>12700</xdr:colOff>
      <xdr:row>26</xdr:row>
      <xdr:rowOff>88900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57150</xdr:colOff>
      <xdr:row>17</xdr:row>
      <xdr:rowOff>95250</xdr:rowOff>
    </xdr:from>
    <xdr:to>
      <xdr:col>12</xdr:col>
      <xdr:colOff>57150</xdr:colOff>
      <xdr:row>26</xdr:row>
      <xdr:rowOff>95250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xdr:colOff>
      <xdr:row>26</xdr:row>
      <xdr:rowOff>101600</xdr:rowOff>
    </xdr:from>
    <xdr:to>
      <xdr:col>12</xdr:col>
      <xdr:colOff>57150</xdr:colOff>
      <xdr:row>35</xdr:row>
      <xdr:rowOff>101600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38100</xdr:colOff>
      <xdr:row>8</xdr:row>
      <xdr:rowOff>38100</xdr:rowOff>
    </xdr:from>
    <xdr:to>
      <xdr:col>14</xdr:col>
      <xdr:colOff>755650</xdr:colOff>
      <xdr:row>35</xdr:row>
      <xdr:rowOff>101600</xdr:rowOff>
    </xdr:to>
    <mc:AlternateContent xmlns:mc="http://schemas.openxmlformats.org/markup-compatibility/2006">
      <mc:Choice xmlns:a14="http://schemas.microsoft.com/office/drawing/2010/main" Requires="a14">
        <xdr:graphicFrame macro="">
          <xdr:nvGraphicFramePr>
            <xdr:cNvPr id="33" name="Player 1"/>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dr:sp macro="" textlink="">
          <xdr:nvSpPr>
            <xdr:cNvPr id="0" name=""/>
            <xdr:cNvSpPr>
              <a:spLocks noTextEdit="1"/>
            </xdr:cNvSpPr>
          </xdr:nvSpPr>
          <xdr:spPr>
            <a:xfrm>
              <a:off x="9182100" y="2476500"/>
              <a:ext cx="2241550" cy="8293100"/>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laptop" refreshedDate="46266.710402083336" createdVersion="4" refreshedVersion="4" minRefreshableVersion="3" recordCount="97">
  <cacheSource type="worksheet">
    <worksheetSource name="Table1"/>
  </cacheSource>
  <cacheFields count="17">
    <cacheField name="Sr.No" numFmtId="0">
      <sharedItems containsSemiMixedTypes="0" containsString="0" containsNumber="1" containsInteger="1" minValue="1" maxValue="97"/>
    </cacheField>
    <cacheField name="Player" numFmtId="0">
      <sharedItems count="97">
        <s v="SR Tendulkar (INDIA)"/>
        <s v="RT Ponting (AUS)"/>
        <s v="JH Kallis (ICC/SA)"/>
        <s v="R Dravid (ICC/INDIA)"/>
        <s v="AN Cook (ENG)"/>
        <s v="KC Sangakkara (SL)"/>
        <s v="BC Lara (ICC/WI)"/>
        <s v="S Chanderpaul (WI)"/>
        <s v="DPMD Jayawardene (SL)"/>
        <s v="AR Border (AUS)"/>
        <s v="SR Waugh (AUS)"/>
        <s v="SM Gavaskar (INDIA)"/>
        <s v="Younis Khan (PAK)"/>
        <s v="JE Root (ENG)"/>
        <s v="HM Amla (SA)"/>
        <s v="GC Smith (ICC/SA)"/>
        <s v="GA Gooch (ENG)"/>
        <s v="Javed Miandad (PAK)"/>
        <s v="Inzamam-ul-Haq (ICC/PAK)"/>
        <s v="VVS Laxman (INDIA)"/>
        <s v="AB de Villiers (SA)"/>
        <s v="MJ Clarke (AUS)"/>
        <s v="ML Hayden (AUS)"/>
        <s v="V Sehwag (ICC/INDIA)"/>
        <s v="IVA Richards (WI)"/>
        <s v="AJ Stewart (ENG)"/>
        <s v="DI Gower (ENG)"/>
        <s v="KP Pietersen (ENG)"/>
        <s v="G Boycott (ENG)"/>
        <s v="GS Sobers (WI)"/>
        <s v="ME Waugh (AUS)"/>
        <s v="V Kohli (INDIA)"/>
        <s v="MA Atherton (ENG)"/>
        <s v="IR Bell (ENG)"/>
        <s v="JL Langer (AUS)"/>
        <s v="SPD Smith (AUS)"/>
        <s v="MC Cowdrey (ENG)"/>
        <s v="LRPL Taylor (NZ)"/>
        <s v="CG Greenidge (WI)"/>
        <s v="Mohammad Yousuf (PAK)"/>
        <s v="MA Taylor (AUS)"/>
        <s v="CH Lloyd (WI)"/>
        <s v="DA Warner (AUS)"/>
        <s v="DL Haynes (WI)"/>
        <s v="DC Boon (AUS)"/>
        <s v="G Kirsten (SA)"/>
        <s v="KS Williamson (NZ)"/>
        <s v="WR Hammond (ENG)"/>
        <s v="CH Gayle (WI)"/>
        <s v="SC Ganguly (INDIA)"/>
        <s v="SP Fleming (NZ)"/>
        <s v="GS Chappell (AUS)"/>
        <s v="AJ Strauss (ENG)"/>
        <s v="DG Bradman (AUS)"/>
        <s v="ST Jayasuriya (SL)"/>
        <s v="L Hutton (ENG)"/>
        <s v="DB Vengsarkar (INDIA)"/>
        <s v="KF Barrington (ENG)"/>
        <s v="GP Thorpe (ENG)"/>
        <s v="Azhar Ali (PAK)"/>
        <s v="CA Pujara (INDIA)"/>
        <s v="BB McCullum (NZ)"/>
        <s v="PA de Silva (SL)"/>
        <s v="AD Mathews (SL)"/>
        <s v="MEK Hussey (AUS)"/>
        <s v="RB Kanhai (WI)"/>
        <s v="M Azharuddin (INDIA)"/>
        <s v="HH Gibbs (SA)"/>
        <s v="RN Harvey (AUS)"/>
        <s v="GR Viswanath (INDIA)"/>
        <s v="RB Richardson (WI)"/>
        <s v="RR Sarwan (WI)"/>
        <s v="ME Trescothick (ENG)"/>
        <s v="DCS Compton (ENG)"/>
        <s v="Saleem Malik (PAK)"/>
        <s v="N Hussain (ENG)"/>
        <s v="CL Hooper (WI)"/>
        <s v="MP Vaughan (ENG)"/>
        <s v="AC Gilchrist (AUS)"/>
        <s v="MV Boucher (ICC/SA)"/>
        <s v="MS Atapattu (SL)"/>
        <s v="TM Dilshan (SL)"/>
        <s v="TT Samaraweera (SL)"/>
        <s v="FDM Karunaratne (SL)"/>
        <s v="MD Crowe (NZ)"/>
        <s v="JB Hobbs (ENG)"/>
        <s v="KD Walters (AUS)"/>
        <s v="IM Chappell (AUS)"/>
        <s v="JG Wright (NZ)"/>
        <s v="MJ Slater (AUS)"/>
        <s v="N Kapil Dev (INDIA)"/>
        <s v="WM Lawry (AUS)"/>
        <s v="Misbah-ul-Haq (PAK)"/>
        <s v="IT Botham (ENG)"/>
        <s v="JH Edrich (ENG)"/>
        <s v="A Ranatunga (SL)"/>
        <s v="Zaheer Abbas (PAK)"/>
      </sharedItems>
    </cacheField>
    <cacheField name="Span" numFmtId="0">
      <sharedItems/>
    </cacheField>
    <cacheField name="Mat" numFmtId="0">
      <sharedItems containsMixedTypes="1" containsNumber="1" containsInteger="1" minValue="52" maxValue="200"/>
    </cacheField>
    <cacheField name="Inns" numFmtId="0">
      <sharedItems containsSemiMixedTypes="0" containsString="0" containsNumber="1" containsInteger="1" minValue="80" maxValue="329"/>
    </cacheField>
    <cacheField name="NO" numFmtId="0">
      <sharedItems containsSemiMixedTypes="0" containsString="0" containsNumber="1" containsInteger="1" minValue="5" maxValue="49"/>
    </cacheField>
    <cacheField name="Runs" numFmtId="0">
      <sharedItems containsSemiMixedTypes="0" containsString="0" containsNumber="1" containsInteger="1" minValue="5062" maxValue="15921"/>
    </cacheField>
    <cacheField name="HS" numFmtId="0">
      <sharedItems containsMixedTypes="1" containsNumber="1" containsInteger="1" minValue="125" maxValue="380"/>
    </cacheField>
    <cacheField name="Ave" numFmtId="0">
      <sharedItems containsSemiMixedTypes="0" containsString="0" containsNumber="1" minValue="30.3" maxValue="99.94"/>
    </cacheField>
    <cacheField name="100" numFmtId="0">
      <sharedItems containsSemiMixedTypes="0" containsString="0" containsNumber="1" containsInteger="1" minValue="4" maxValue="51"/>
    </cacheField>
    <cacheField name="50" numFmtId="0">
      <sharedItems containsSemiMixedTypes="0" containsString="0" containsNumber="1" containsInteger="1" minValue="13" maxValue="68"/>
    </cacheField>
    <cacheField name="0" numFmtId="0">
      <sharedItems containsSemiMixedTypes="0" containsString="0" containsNumber="1" containsInteger="1" minValue="2" maxValue="22"/>
    </cacheField>
    <cacheField name="Not Out %" numFmtId="10">
      <sharedItems containsSemiMixedTypes="0" containsString="0" containsNumber="1" minValue="2.5862068965517241E-2" maxValue="0.17692307692307693"/>
    </cacheField>
    <cacheField name="Runs Per Innings" numFmtId="2">
      <sharedItems containsSemiMixedTypes="0" containsString="0" containsNumber="1" minValue="26.771844660194176" maxValue="87.45"/>
    </cacheField>
    <cacheField name="50+ Scores" numFmtId="0">
      <sharedItems containsSemiMixedTypes="0" containsString="0" containsNumber="1" containsInteger="1" minValue="32" maxValue="119"/>
    </cacheField>
    <cacheField name="Century Contribution %" numFmtId="10">
      <sharedItems containsSemiMixedTypes="0" containsString="0" containsNumber="1" minValue="9.5238095238095233E-2" maxValue="0.69047619047619047"/>
    </cacheField>
    <cacheField name="HS Numeric" numFmtId="0">
      <sharedItems containsSemiMixedTypes="0" containsString="0" containsNumber="1" containsInteger="1" minValue="125" maxValue="400" count="79">
        <n v="248"/>
        <n v="257"/>
        <n v="224"/>
        <n v="270"/>
        <n v="294"/>
        <n v="319"/>
        <n v="400"/>
        <n v="203"/>
        <n v="374"/>
        <n v="205"/>
        <n v="200"/>
        <n v="236"/>
        <n v="313"/>
        <n v="254"/>
        <n v="311"/>
        <n v="277"/>
        <n v="333"/>
        <n v="280"/>
        <n v="329"/>
        <n v="281"/>
        <n v="278"/>
        <n v="380"/>
        <n v="291"/>
        <n v="190"/>
        <n v="215"/>
        <n v="227"/>
        <n v="246"/>
        <n v="365"/>
        <n v="153"/>
        <n v="185"/>
        <n v="235"/>
        <n v="250"/>
        <n v="239"/>
        <n v="182"/>
        <n v="290"/>
        <n v="226"/>
        <n v="223"/>
        <n v="334"/>
        <n v="242"/>
        <n v="335"/>
        <n v="184"/>
        <n v="275"/>
        <n v="251"/>
        <n v="336"/>
        <n v="274"/>
        <n v="247"/>
        <n v="177"/>
        <n v="340"/>
        <n v="364"/>
        <n v="166"/>
        <n v="256"/>
        <n v="302"/>
        <n v="206"/>
        <n v="267"/>
        <n v="195"/>
        <n v="199"/>
        <n v="228"/>
        <n v="222"/>
        <n v="194"/>
        <n v="219"/>
        <n v="237"/>
        <n v="207"/>
        <n v="233"/>
        <n v="197"/>
        <n v="204"/>
        <n v="125"/>
        <n v="249"/>
        <n v="193"/>
        <n v="231"/>
        <n v="244"/>
        <n v="299"/>
        <n v="211"/>
        <n v="196"/>
        <n v="163"/>
        <n v="210"/>
        <n v="161"/>
        <n v="208"/>
        <n v="310"/>
        <n v="13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
  <r>
    <n v="1"/>
    <x v="0"/>
    <s v="1989-2013"/>
    <n v="200"/>
    <n v="329"/>
    <n v="33"/>
    <n v="15921"/>
    <s v="248*"/>
    <n v="53.78"/>
    <n v="51"/>
    <n v="68"/>
    <n v="14"/>
    <n v="0.10030395136778116"/>
    <n v="48.392097264437687"/>
    <n v="119"/>
    <n v="0.42857142857142855"/>
    <x v="0"/>
  </r>
  <r>
    <n v="2"/>
    <x v="1"/>
    <s v="1995-2012"/>
    <n v="168"/>
    <n v="287"/>
    <n v="29"/>
    <n v="13378"/>
    <n v="257"/>
    <n v="51.85"/>
    <n v="41"/>
    <n v="62"/>
    <n v="17"/>
    <n v="0.10104529616724739"/>
    <n v="46.613240418118465"/>
    <n v="103"/>
    <n v="0.39805825242718446"/>
    <x v="1"/>
  </r>
  <r>
    <n v="3"/>
    <x v="2"/>
    <s v="1995-2013"/>
    <n v="166"/>
    <n v="280"/>
    <n v="40"/>
    <n v="13289"/>
    <n v="224"/>
    <n v="55.37"/>
    <n v="45"/>
    <n v="58"/>
    <n v="16"/>
    <n v="0.14285714285714285"/>
    <n v="47.460714285714289"/>
    <n v="103"/>
    <n v="0.43689320388349512"/>
    <x v="2"/>
  </r>
  <r>
    <n v="4"/>
    <x v="3"/>
    <s v="1996-2012"/>
    <n v="164"/>
    <n v="286"/>
    <n v="32"/>
    <n v="13288"/>
    <n v="270"/>
    <n v="52.31"/>
    <n v="36"/>
    <n v="63"/>
    <n v="8"/>
    <n v="0.11188811188811189"/>
    <n v="46.46153846153846"/>
    <n v="99"/>
    <n v="0.36363636363636365"/>
    <x v="3"/>
  </r>
  <r>
    <n v="5"/>
    <x v="4"/>
    <s v="2006-2018"/>
    <n v="161"/>
    <n v="291"/>
    <n v="16"/>
    <n v="12472"/>
    <n v="294"/>
    <n v="45.35"/>
    <n v="33"/>
    <n v="57"/>
    <n v="9"/>
    <n v="5.4982817869415807E-2"/>
    <n v="42.859106529209619"/>
    <n v="90"/>
    <n v="0.36666666666666664"/>
    <x v="4"/>
  </r>
  <r>
    <n v="6"/>
    <x v="5"/>
    <s v="2000-2015"/>
    <n v="134"/>
    <n v="233"/>
    <n v="17"/>
    <n v="12400"/>
    <n v="319"/>
    <n v="57.4"/>
    <n v="38"/>
    <n v="52"/>
    <n v="11"/>
    <n v="7.2961373390557943E-2"/>
    <n v="53.218884120171673"/>
    <n v="90"/>
    <n v="0.42222222222222222"/>
    <x v="5"/>
  </r>
  <r>
    <n v="7"/>
    <x v="6"/>
    <s v="1990-2006"/>
    <n v="131"/>
    <n v="232"/>
    <n v="6"/>
    <n v="11953"/>
    <s v="400*"/>
    <n v="52.88"/>
    <n v="34"/>
    <n v="48"/>
    <n v="17"/>
    <n v="2.5862068965517241E-2"/>
    <n v="51.521551724137929"/>
    <n v="82"/>
    <n v="0.41463414634146339"/>
    <x v="6"/>
  </r>
  <r>
    <n v="8"/>
    <x v="7"/>
    <s v="1994-2015"/>
    <n v="164"/>
    <n v="280"/>
    <n v="49"/>
    <n v="11867"/>
    <s v="203*"/>
    <n v="51.37"/>
    <n v="30"/>
    <n v="66"/>
    <n v="15"/>
    <n v="0.17499999999999999"/>
    <n v="42.38214285714286"/>
    <n v="96"/>
    <n v="0.3125"/>
    <x v="7"/>
  </r>
  <r>
    <n v="9"/>
    <x v="8"/>
    <s v="1997-2014"/>
    <n v="149"/>
    <n v="252"/>
    <n v="15"/>
    <n v="11814"/>
    <n v="374"/>
    <n v="49.84"/>
    <n v="34"/>
    <n v="50"/>
    <n v="15"/>
    <n v="5.9523809523809521E-2"/>
    <n v="46.88095238095238"/>
    <n v="84"/>
    <n v="0.40476190476190477"/>
    <x v="8"/>
  </r>
  <r>
    <n v="10"/>
    <x v="9"/>
    <s v="1978-1994"/>
    <n v="156"/>
    <n v="265"/>
    <n v="44"/>
    <n v="11174"/>
    <n v="205"/>
    <n v="50.56"/>
    <n v="27"/>
    <n v="63"/>
    <n v="11"/>
    <n v="0.16603773584905659"/>
    <n v="42.166037735849059"/>
    <n v="90"/>
    <n v="0.3"/>
    <x v="9"/>
  </r>
  <r>
    <n v="11"/>
    <x v="10"/>
    <s v="1985-2004"/>
    <n v="168"/>
    <n v="260"/>
    <n v="46"/>
    <n v="10927"/>
    <n v="200"/>
    <n v="51.06"/>
    <n v="32"/>
    <n v="50"/>
    <n v="22"/>
    <n v="0.17692307692307693"/>
    <n v="42.026923076923076"/>
    <n v="82"/>
    <n v="0.3902439024390244"/>
    <x v="10"/>
  </r>
  <r>
    <n v="12"/>
    <x v="11"/>
    <s v="1971-1987"/>
    <n v="125"/>
    <n v="214"/>
    <n v="16"/>
    <n v="10122"/>
    <s v="236*"/>
    <n v="51.12"/>
    <n v="34"/>
    <n v="45"/>
    <n v="12"/>
    <n v="7.476635514018691E-2"/>
    <n v="47.299065420560744"/>
    <n v="79"/>
    <n v="0.43037974683544306"/>
    <x v="11"/>
  </r>
  <r>
    <n v="13"/>
    <x v="12"/>
    <s v="2000-2017"/>
    <n v="118"/>
    <n v="213"/>
    <n v="19"/>
    <n v="10099"/>
    <n v="313"/>
    <n v="52.05"/>
    <n v="34"/>
    <n v="33"/>
    <n v="19"/>
    <n v="8.9201877934272297E-2"/>
    <n v="47.413145539906104"/>
    <n v="67"/>
    <n v="0.5074626865671642"/>
    <x v="12"/>
  </r>
  <r>
    <n v="14"/>
    <x v="13"/>
    <s v="2012-2021"/>
    <s v="111*"/>
    <n v="202"/>
    <n v="15"/>
    <n v="9367"/>
    <n v="254"/>
    <n v="50.09"/>
    <n v="23"/>
    <n v="51"/>
    <n v="9"/>
    <n v="7.4257425742574254E-2"/>
    <n v="46.371287128712872"/>
    <n v="74"/>
    <n v="0.3108108108108108"/>
    <x v="13"/>
  </r>
  <r>
    <n v="15"/>
    <x v="14"/>
    <s v="2004-2019"/>
    <n v="124"/>
    <n v="215"/>
    <n v="16"/>
    <n v="9282"/>
    <s v="311*"/>
    <n v="46.64"/>
    <n v="28"/>
    <n v="41"/>
    <n v="13"/>
    <n v="7.441860465116279E-2"/>
    <n v="43.172093023255812"/>
    <n v="69"/>
    <n v="0.40579710144927539"/>
    <x v="14"/>
  </r>
  <r>
    <n v="16"/>
    <x v="15"/>
    <s v="2002-2014"/>
    <n v="117"/>
    <n v="205"/>
    <n v="13"/>
    <n v="9265"/>
    <n v="277"/>
    <n v="48.25"/>
    <n v="27"/>
    <n v="38"/>
    <n v="11"/>
    <n v="6.3414634146341464E-2"/>
    <n v="45.195121951219512"/>
    <n v="65"/>
    <n v="0.41538461538461541"/>
    <x v="15"/>
  </r>
  <r>
    <n v="17"/>
    <x v="16"/>
    <s v="1975-1995"/>
    <n v="118"/>
    <n v="215"/>
    <n v="6"/>
    <n v="8900"/>
    <n v="333"/>
    <n v="42.58"/>
    <n v="20"/>
    <n v="46"/>
    <n v="13"/>
    <n v="2.7906976744186046E-2"/>
    <n v="41.395348837209305"/>
    <n v="66"/>
    <n v="0.30303030303030304"/>
    <x v="16"/>
  </r>
  <r>
    <n v="18"/>
    <x v="17"/>
    <s v="1976-1993"/>
    <n v="124"/>
    <n v="189"/>
    <n v="21"/>
    <n v="8832"/>
    <s v="280*"/>
    <n v="52.57"/>
    <n v="23"/>
    <n v="43"/>
    <n v="6"/>
    <n v="0.1111111111111111"/>
    <n v="46.730158730158728"/>
    <n v="66"/>
    <n v="0.34848484848484851"/>
    <x v="17"/>
  </r>
  <r>
    <n v="19"/>
    <x v="18"/>
    <s v="1992-2007"/>
    <n v="120"/>
    <n v="200"/>
    <n v="22"/>
    <n v="8830"/>
    <n v="329"/>
    <n v="49.6"/>
    <n v="25"/>
    <n v="46"/>
    <n v="15"/>
    <n v="0.11"/>
    <n v="44.15"/>
    <n v="71"/>
    <n v="0.352112676056338"/>
    <x v="18"/>
  </r>
  <r>
    <n v="20"/>
    <x v="19"/>
    <s v="1996-2012"/>
    <n v="134"/>
    <n v="225"/>
    <n v="34"/>
    <n v="8781"/>
    <n v="281"/>
    <n v="45.97"/>
    <n v="17"/>
    <n v="56"/>
    <n v="14"/>
    <n v="0.15111111111111111"/>
    <n v="39.026666666666664"/>
    <n v="73"/>
    <n v="0.23287671232876711"/>
    <x v="19"/>
  </r>
  <r>
    <n v="21"/>
    <x v="20"/>
    <s v="2004-2018"/>
    <n v="114"/>
    <n v="191"/>
    <n v="18"/>
    <n v="8765"/>
    <s v="278*"/>
    <n v="50.66"/>
    <n v="22"/>
    <n v="46"/>
    <n v="8"/>
    <n v="9.4240837696335081E-2"/>
    <n v="45.890052356020945"/>
    <n v="68"/>
    <n v="0.3235294117647059"/>
    <x v="20"/>
  </r>
  <r>
    <n v="22"/>
    <x v="21"/>
    <s v="2004-2015"/>
    <n v="115"/>
    <n v="198"/>
    <n v="22"/>
    <n v="8643"/>
    <s v="329*"/>
    <n v="49.1"/>
    <n v="28"/>
    <n v="27"/>
    <n v="9"/>
    <n v="0.1111111111111111"/>
    <n v="43.651515151515149"/>
    <n v="55"/>
    <n v="0.50909090909090904"/>
    <x v="18"/>
  </r>
  <r>
    <n v="23"/>
    <x v="22"/>
    <s v="1994-2009"/>
    <n v="103"/>
    <n v="184"/>
    <n v="14"/>
    <n v="8625"/>
    <n v="380"/>
    <n v="50.73"/>
    <n v="30"/>
    <n v="29"/>
    <n v="14"/>
    <n v="7.6086956521739135E-2"/>
    <n v="46.875"/>
    <n v="59"/>
    <n v="0.50847457627118642"/>
    <x v="21"/>
  </r>
  <r>
    <n v="24"/>
    <x v="23"/>
    <s v="2001-2013"/>
    <n v="104"/>
    <n v="180"/>
    <n v="6"/>
    <n v="8586"/>
    <n v="319"/>
    <n v="49.34"/>
    <n v="23"/>
    <n v="32"/>
    <n v="16"/>
    <n v="3.3333333333333333E-2"/>
    <n v="47.7"/>
    <n v="55"/>
    <n v="0.41818181818181815"/>
    <x v="5"/>
  </r>
  <r>
    <n v="25"/>
    <x v="24"/>
    <s v="1974-1991"/>
    <n v="121"/>
    <n v="182"/>
    <n v="12"/>
    <n v="8540"/>
    <n v="291"/>
    <n v="50.23"/>
    <n v="24"/>
    <n v="45"/>
    <n v="10"/>
    <n v="6.5934065934065936E-2"/>
    <n v="46.92307692307692"/>
    <n v="69"/>
    <n v="0.34782608695652173"/>
    <x v="22"/>
  </r>
  <r>
    <n v="26"/>
    <x v="25"/>
    <s v="1990-2003"/>
    <n v="133"/>
    <n v="235"/>
    <n v="21"/>
    <n v="8463"/>
    <n v="190"/>
    <n v="39.54"/>
    <n v="15"/>
    <n v="45"/>
    <n v="14"/>
    <n v="8.9361702127659579E-2"/>
    <n v="36.01276595744681"/>
    <n v="60"/>
    <n v="0.25"/>
    <x v="23"/>
  </r>
  <r>
    <n v="27"/>
    <x v="26"/>
    <s v="1978-1992"/>
    <n v="117"/>
    <n v="204"/>
    <n v="18"/>
    <n v="8231"/>
    <n v="215"/>
    <n v="44.25"/>
    <n v="18"/>
    <n v="39"/>
    <n v="7"/>
    <n v="8.8235294117647065E-2"/>
    <n v="40.348039215686278"/>
    <n v="57"/>
    <n v="0.31578947368421051"/>
    <x v="24"/>
  </r>
  <r>
    <n v="28"/>
    <x v="27"/>
    <s v="2005-2014"/>
    <n v="104"/>
    <n v="181"/>
    <n v="8"/>
    <n v="8181"/>
    <n v="227"/>
    <n v="47.28"/>
    <n v="23"/>
    <n v="35"/>
    <n v="10"/>
    <n v="4.4198895027624308E-2"/>
    <n v="45.19889502762431"/>
    <n v="58"/>
    <n v="0.39655172413793105"/>
    <x v="25"/>
  </r>
  <r>
    <n v="29"/>
    <x v="28"/>
    <s v="1964-1982"/>
    <n v="108"/>
    <n v="193"/>
    <n v="23"/>
    <n v="8114"/>
    <s v="246*"/>
    <n v="47.72"/>
    <n v="22"/>
    <n v="42"/>
    <n v="10"/>
    <n v="0.11917098445595854"/>
    <n v="42.041450777202073"/>
    <n v="64"/>
    <n v="0.34375"/>
    <x v="26"/>
  </r>
  <r>
    <n v="30"/>
    <x v="29"/>
    <s v="1954-1974"/>
    <n v="93"/>
    <n v="160"/>
    <n v="21"/>
    <n v="8032"/>
    <s v="365*"/>
    <n v="57.78"/>
    <n v="26"/>
    <n v="30"/>
    <n v="12"/>
    <n v="0.13125000000000001"/>
    <n v="50.2"/>
    <n v="56"/>
    <n v="0.4642857142857143"/>
    <x v="27"/>
  </r>
  <r>
    <n v="31"/>
    <x v="30"/>
    <s v="1991-2002"/>
    <n v="128"/>
    <n v="209"/>
    <n v="17"/>
    <n v="8029"/>
    <s v="153*"/>
    <n v="41.81"/>
    <n v="20"/>
    <n v="47"/>
    <n v="19"/>
    <n v="8.1339712918660281E-2"/>
    <n v="38.41626794258373"/>
    <n v="67"/>
    <n v="0.29850746268656714"/>
    <x v="28"/>
  </r>
  <r>
    <n v="32"/>
    <x v="31"/>
    <s v="2011-2021"/>
    <n v="97"/>
    <n v="164"/>
    <n v="10"/>
    <n v="7801"/>
    <s v="254*"/>
    <n v="50.65"/>
    <n v="27"/>
    <n v="27"/>
    <n v="14"/>
    <n v="6.097560975609756E-2"/>
    <n v="47.56707317073171"/>
    <n v="54"/>
    <n v="0.5"/>
    <x v="13"/>
  </r>
  <r>
    <n v="33"/>
    <x v="32"/>
    <s v="1989-2001"/>
    <n v="115"/>
    <n v="212"/>
    <n v="7"/>
    <n v="7728"/>
    <s v="185*"/>
    <n v="37.69"/>
    <n v="16"/>
    <n v="46"/>
    <n v="20"/>
    <n v="3.3018867924528301E-2"/>
    <n v="36.452830188679243"/>
    <n v="62"/>
    <n v="0.25806451612903225"/>
    <x v="29"/>
  </r>
  <r>
    <n v="34"/>
    <x v="33"/>
    <s v="2004-2015"/>
    <n v="118"/>
    <n v="205"/>
    <n v="24"/>
    <n v="7727"/>
    <n v="235"/>
    <n v="42.69"/>
    <n v="22"/>
    <n v="46"/>
    <n v="14"/>
    <n v="0.11707317073170732"/>
    <n v="37.692682926829271"/>
    <n v="68"/>
    <n v="0.3235294117647059"/>
    <x v="30"/>
  </r>
  <r>
    <n v="35"/>
    <x v="34"/>
    <s v="1993-2007"/>
    <n v="105"/>
    <n v="182"/>
    <n v="12"/>
    <n v="7696"/>
    <n v="250"/>
    <n v="45.27"/>
    <n v="23"/>
    <n v="30"/>
    <n v="11"/>
    <n v="6.5934065934065936E-2"/>
    <n v="42.285714285714285"/>
    <n v="53"/>
    <n v="0.43396226415094341"/>
    <x v="31"/>
  </r>
  <r>
    <n v="36"/>
    <x v="35"/>
    <s v="2010-2021"/>
    <s v="79*"/>
    <n v="141"/>
    <n v="18"/>
    <n v="7625"/>
    <n v="239"/>
    <n v="61.99"/>
    <n v="27"/>
    <n v="32"/>
    <n v="5"/>
    <n v="0.1276595744680851"/>
    <n v="54.078014184397162"/>
    <n v="59"/>
    <n v="0.4576271186440678"/>
    <x v="32"/>
  </r>
  <r>
    <n v="37"/>
    <x v="36"/>
    <s v="1954-1975"/>
    <n v="114"/>
    <n v="188"/>
    <n v="15"/>
    <n v="7624"/>
    <n v="182"/>
    <n v="44.06"/>
    <n v="22"/>
    <n v="38"/>
    <n v="9"/>
    <n v="7.9787234042553196E-2"/>
    <n v="40.553191489361701"/>
    <n v="60"/>
    <n v="0.36666666666666664"/>
    <x v="33"/>
  </r>
  <r>
    <n v="38"/>
    <x v="37"/>
    <s v="2007-2021"/>
    <n v="110"/>
    <n v="193"/>
    <n v="24"/>
    <n v="7584"/>
    <n v="290"/>
    <n v="44.87"/>
    <n v="19"/>
    <n v="35"/>
    <n v="14"/>
    <n v="0.12435233160621761"/>
    <n v="39.295336787564764"/>
    <n v="54"/>
    <n v="0.35185185185185186"/>
    <x v="34"/>
  </r>
  <r>
    <n v="39"/>
    <x v="38"/>
    <s v="1974-1991"/>
    <n v="108"/>
    <n v="185"/>
    <n v="16"/>
    <n v="7558"/>
    <n v="226"/>
    <n v="44.72"/>
    <n v="19"/>
    <n v="34"/>
    <n v="11"/>
    <n v="8.6486486486486491E-2"/>
    <n v="40.854054054054053"/>
    <n v="53"/>
    <n v="0.35849056603773582"/>
    <x v="35"/>
  </r>
  <r>
    <n v="40"/>
    <x v="39"/>
    <s v="1998-2010"/>
    <n v="90"/>
    <n v="156"/>
    <n v="12"/>
    <n v="7530"/>
    <n v="223"/>
    <n v="52.29"/>
    <n v="24"/>
    <n v="33"/>
    <n v="11"/>
    <n v="7.6923076923076927E-2"/>
    <n v="48.269230769230766"/>
    <n v="57"/>
    <n v="0.42105263157894735"/>
    <x v="36"/>
  </r>
  <r>
    <n v="41"/>
    <x v="40"/>
    <s v="1989-1999"/>
    <n v="104"/>
    <n v="186"/>
    <n v="13"/>
    <n v="7525"/>
    <s v="334*"/>
    <n v="43.49"/>
    <n v="19"/>
    <n v="40"/>
    <n v="5"/>
    <n v="6.9892473118279563E-2"/>
    <n v="40.456989247311824"/>
    <n v="59"/>
    <n v="0.32203389830508472"/>
    <x v="37"/>
  </r>
  <r>
    <n v="42"/>
    <x v="41"/>
    <s v="1966-1985"/>
    <n v="110"/>
    <n v="175"/>
    <n v="14"/>
    <n v="7515"/>
    <s v="242*"/>
    <n v="46.67"/>
    <n v="19"/>
    <n v="39"/>
    <n v="4"/>
    <n v="0.08"/>
    <n v="42.942857142857143"/>
    <n v="58"/>
    <n v="0.32758620689655171"/>
    <x v="38"/>
  </r>
  <r>
    <n v="43"/>
    <x v="42"/>
    <s v="2011-2021"/>
    <s v="88*"/>
    <n v="161"/>
    <n v="7"/>
    <n v="7500"/>
    <s v="335*"/>
    <n v="48.7"/>
    <n v="24"/>
    <n v="32"/>
    <n v="9"/>
    <n v="4.3478260869565216E-2"/>
    <n v="46.58385093167702"/>
    <n v="56"/>
    <n v="0.42857142857142855"/>
    <x v="39"/>
  </r>
  <r>
    <n v="44"/>
    <x v="43"/>
    <s v="1978-1994"/>
    <n v="116"/>
    <n v="202"/>
    <n v="25"/>
    <n v="7487"/>
    <n v="184"/>
    <n v="42.29"/>
    <n v="18"/>
    <n v="39"/>
    <n v="10"/>
    <n v="0.12376237623762376"/>
    <n v="37.064356435643568"/>
    <n v="57"/>
    <n v="0.31578947368421051"/>
    <x v="40"/>
  </r>
  <r>
    <n v="45"/>
    <x v="44"/>
    <s v="1984-1996"/>
    <n v="107"/>
    <n v="190"/>
    <n v="20"/>
    <n v="7422"/>
    <n v="200"/>
    <n v="43.65"/>
    <n v="21"/>
    <n v="32"/>
    <n v="16"/>
    <n v="0.10526315789473684"/>
    <n v="39.06315789473684"/>
    <n v="53"/>
    <n v="0.39622641509433965"/>
    <x v="10"/>
  </r>
  <r>
    <n v="46"/>
    <x v="45"/>
    <s v="1993-2004"/>
    <n v="101"/>
    <n v="176"/>
    <n v="15"/>
    <n v="7289"/>
    <n v="275"/>
    <n v="45.27"/>
    <n v="21"/>
    <n v="34"/>
    <n v="13"/>
    <n v="8.5227272727272721E-2"/>
    <n v="41.414772727272727"/>
    <n v="55"/>
    <n v="0.38181818181818183"/>
    <x v="41"/>
  </r>
  <r>
    <n v="47"/>
    <x v="46"/>
    <s v="2010-2021"/>
    <n v="86"/>
    <n v="150"/>
    <n v="14"/>
    <n v="7272"/>
    <n v="251"/>
    <n v="53.47"/>
    <n v="24"/>
    <n v="33"/>
    <n v="9"/>
    <n v="9.3333333333333338E-2"/>
    <n v="48.48"/>
    <n v="57"/>
    <n v="0.42105263157894735"/>
    <x v="42"/>
  </r>
  <r>
    <n v="48"/>
    <x v="47"/>
    <s v="1927-1947"/>
    <n v="85"/>
    <n v="140"/>
    <n v="16"/>
    <n v="7249"/>
    <s v="336*"/>
    <n v="58.45"/>
    <n v="22"/>
    <n v="24"/>
    <n v="4"/>
    <n v="0.11428571428571428"/>
    <n v="51.778571428571432"/>
    <n v="46"/>
    <n v="0.47826086956521741"/>
    <x v="43"/>
  </r>
  <r>
    <n v="49"/>
    <x v="48"/>
    <s v="2000-2014"/>
    <n v="103"/>
    <n v="182"/>
    <n v="11"/>
    <n v="7214"/>
    <n v="333"/>
    <n v="42.18"/>
    <n v="15"/>
    <n v="37"/>
    <n v="15"/>
    <n v="6.043956043956044E-2"/>
    <n v="39.637362637362635"/>
    <n v="52"/>
    <n v="0.28846153846153844"/>
    <x v="16"/>
  </r>
  <r>
    <n v="50"/>
    <x v="49"/>
    <s v="1996-2008"/>
    <n v="113"/>
    <n v="188"/>
    <n v="17"/>
    <n v="7212"/>
    <n v="239"/>
    <n v="42.17"/>
    <n v="16"/>
    <n v="35"/>
    <n v="13"/>
    <n v="9.0425531914893623E-2"/>
    <n v="38.361702127659576"/>
    <n v="51"/>
    <n v="0.31372549019607843"/>
    <x v="32"/>
  </r>
  <r>
    <n v="51"/>
    <x v="50"/>
    <s v="1994-2008"/>
    <n v="111"/>
    <n v="189"/>
    <n v="10"/>
    <n v="7172"/>
    <s v="274*"/>
    <n v="40.06"/>
    <n v="9"/>
    <n v="46"/>
    <n v="16"/>
    <n v="5.2910052910052907E-2"/>
    <n v="37.94708994708995"/>
    <n v="55"/>
    <n v="0.16363636363636364"/>
    <x v="44"/>
  </r>
  <r>
    <n v="52"/>
    <x v="51"/>
    <s v="1970-1984"/>
    <n v="87"/>
    <n v="151"/>
    <n v="19"/>
    <n v="7110"/>
    <s v="247*"/>
    <n v="53.86"/>
    <n v="24"/>
    <n v="31"/>
    <n v="12"/>
    <n v="0.12582781456953643"/>
    <n v="47.086092715231786"/>
    <n v="55"/>
    <n v="0.43636363636363634"/>
    <x v="45"/>
  </r>
  <r>
    <n v="53"/>
    <x v="52"/>
    <s v="2004-2012"/>
    <n v="100"/>
    <n v="178"/>
    <n v="6"/>
    <n v="7037"/>
    <n v="177"/>
    <n v="40.909999999999997"/>
    <n v="21"/>
    <n v="27"/>
    <n v="15"/>
    <n v="3.3707865168539325E-2"/>
    <n v="39.533707865168537"/>
    <n v="48"/>
    <n v="0.4375"/>
    <x v="46"/>
  </r>
  <r>
    <n v="54"/>
    <x v="53"/>
    <s v="1928-1948"/>
    <n v="52"/>
    <n v="80"/>
    <n v="10"/>
    <n v="6996"/>
    <n v="334"/>
    <n v="99.94"/>
    <n v="29"/>
    <n v="13"/>
    <n v="7"/>
    <n v="0.125"/>
    <n v="87.45"/>
    <n v="42"/>
    <n v="0.69047619047619047"/>
    <x v="37"/>
  </r>
  <r>
    <n v="55"/>
    <x v="54"/>
    <s v="1991-2007"/>
    <n v="110"/>
    <n v="188"/>
    <n v="14"/>
    <n v="6973"/>
    <n v="340"/>
    <n v="40.07"/>
    <n v="14"/>
    <n v="31"/>
    <n v="15"/>
    <n v="7.4468085106382975E-2"/>
    <n v="37.090425531914896"/>
    <n v="45"/>
    <n v="0.31111111111111112"/>
    <x v="47"/>
  </r>
  <r>
    <n v="56"/>
    <x v="55"/>
    <s v="1937-1955"/>
    <n v="79"/>
    <n v="138"/>
    <n v="15"/>
    <n v="6971"/>
    <n v="364"/>
    <n v="56.67"/>
    <n v="19"/>
    <n v="33"/>
    <n v="5"/>
    <n v="0.10869565217391304"/>
    <n v="50.514492753623188"/>
    <n v="52"/>
    <n v="0.36538461538461536"/>
    <x v="48"/>
  </r>
  <r>
    <n v="57"/>
    <x v="56"/>
    <s v="1976-1992"/>
    <n v="116"/>
    <n v="185"/>
    <n v="22"/>
    <n v="6868"/>
    <n v="166"/>
    <n v="42.13"/>
    <n v="17"/>
    <n v="35"/>
    <n v="15"/>
    <n v="0.11891891891891893"/>
    <n v="37.124324324324327"/>
    <n v="52"/>
    <n v="0.32692307692307693"/>
    <x v="49"/>
  </r>
  <r>
    <n v="58"/>
    <x v="57"/>
    <s v="1955-1968"/>
    <n v="82"/>
    <n v="131"/>
    <n v="15"/>
    <n v="6806"/>
    <n v="256"/>
    <n v="58.67"/>
    <n v="20"/>
    <n v="35"/>
    <n v="5"/>
    <n v="0.11450381679389313"/>
    <n v="51.954198473282446"/>
    <n v="55"/>
    <n v="0.36363636363636365"/>
    <x v="50"/>
  </r>
  <r>
    <n v="59"/>
    <x v="58"/>
    <s v="1993-2005"/>
    <n v="100"/>
    <n v="179"/>
    <n v="28"/>
    <n v="6744"/>
    <s v="200*"/>
    <n v="44.66"/>
    <n v="16"/>
    <n v="39"/>
    <n v="12"/>
    <n v="0.15642458100558659"/>
    <n v="37.675977653631286"/>
    <n v="55"/>
    <n v="0.29090909090909089"/>
    <x v="10"/>
  </r>
  <r>
    <n v="60"/>
    <x v="59"/>
    <s v="2010-2021"/>
    <n v="91"/>
    <n v="169"/>
    <n v="11"/>
    <n v="6721"/>
    <s v="302*"/>
    <n v="42.53"/>
    <n v="18"/>
    <n v="34"/>
    <n v="18"/>
    <n v="6.5088757396449703E-2"/>
    <n v="39.769230769230766"/>
    <n v="52"/>
    <n v="0.34615384615384615"/>
    <x v="51"/>
  </r>
  <r>
    <n v="61"/>
    <x v="60"/>
    <s v="2010-2021"/>
    <n v="92"/>
    <n v="156"/>
    <n v="9"/>
    <n v="6589"/>
    <s v="206*"/>
    <n v="44.82"/>
    <n v="18"/>
    <n v="31"/>
    <n v="10"/>
    <n v="5.7692307692307696E-2"/>
    <n v="42.237179487179489"/>
    <n v="49"/>
    <n v="0.36734693877551022"/>
    <x v="52"/>
  </r>
  <r>
    <n v="62"/>
    <x v="61"/>
    <s v="2004-2016"/>
    <n v="101"/>
    <n v="176"/>
    <n v="9"/>
    <n v="6453"/>
    <n v="302"/>
    <n v="38.64"/>
    <n v="12"/>
    <n v="31"/>
    <n v="14"/>
    <n v="5.113636363636364E-2"/>
    <n v="36.664772727272727"/>
    <n v="43"/>
    <n v="0.27906976744186046"/>
    <x v="51"/>
  </r>
  <r>
    <n v="63"/>
    <x v="62"/>
    <s v="1984-2002"/>
    <n v="93"/>
    <n v="159"/>
    <n v="11"/>
    <n v="6361"/>
    <n v="267"/>
    <n v="42.97"/>
    <n v="20"/>
    <n v="22"/>
    <n v="7"/>
    <n v="6.9182389937106917E-2"/>
    <n v="40.0062893081761"/>
    <n v="42"/>
    <n v="0.47619047619047616"/>
    <x v="53"/>
  </r>
  <r>
    <n v="64"/>
    <x v="63"/>
    <s v="2009-2021"/>
    <n v="92"/>
    <n v="165"/>
    <n v="23"/>
    <n v="6338"/>
    <s v="200*"/>
    <n v="44.63"/>
    <n v="11"/>
    <n v="37"/>
    <n v="2"/>
    <n v="0.1393939393939394"/>
    <n v="38.412121212121214"/>
    <n v="48"/>
    <n v="0.22916666666666666"/>
    <x v="10"/>
  </r>
  <r>
    <n v="65"/>
    <x v="64"/>
    <s v="2005-2013"/>
    <n v="79"/>
    <n v="137"/>
    <n v="16"/>
    <n v="6235"/>
    <n v="195"/>
    <n v="51.52"/>
    <n v="19"/>
    <n v="29"/>
    <n v="12"/>
    <n v="0.11678832116788321"/>
    <n v="45.510948905109487"/>
    <n v="48"/>
    <n v="0.39583333333333331"/>
    <x v="54"/>
  </r>
  <r>
    <n v="66"/>
    <x v="65"/>
    <s v="1957-1974"/>
    <n v="79"/>
    <n v="137"/>
    <n v="6"/>
    <n v="6227"/>
    <n v="256"/>
    <n v="47.53"/>
    <n v="15"/>
    <n v="28"/>
    <n v="7"/>
    <n v="4.3795620437956206E-2"/>
    <n v="45.45255474452555"/>
    <n v="43"/>
    <n v="0.34883720930232559"/>
    <x v="50"/>
  </r>
  <r>
    <n v="67"/>
    <x v="66"/>
    <s v="1984-2000"/>
    <n v="99"/>
    <n v="147"/>
    <n v="9"/>
    <n v="6215"/>
    <n v="199"/>
    <n v="45.03"/>
    <n v="22"/>
    <n v="21"/>
    <n v="5"/>
    <n v="6.1224489795918366E-2"/>
    <n v="42.278911564625851"/>
    <n v="43"/>
    <n v="0.51162790697674421"/>
    <x v="55"/>
  </r>
  <r>
    <n v="68"/>
    <x v="67"/>
    <s v="1996-2008"/>
    <n v="90"/>
    <n v="154"/>
    <n v="7"/>
    <n v="6167"/>
    <n v="228"/>
    <n v="41.95"/>
    <n v="14"/>
    <n v="26"/>
    <n v="11"/>
    <n v="4.5454545454545456E-2"/>
    <n v="40.045454545454547"/>
    <n v="40"/>
    <n v="0.35"/>
    <x v="56"/>
  </r>
  <r>
    <n v="69"/>
    <x v="68"/>
    <s v="1948-1963"/>
    <n v="79"/>
    <n v="137"/>
    <n v="10"/>
    <n v="6149"/>
    <n v="205"/>
    <n v="48.41"/>
    <n v="21"/>
    <n v="24"/>
    <n v="7"/>
    <n v="7.2992700729927001E-2"/>
    <n v="44.883211678832119"/>
    <n v="45"/>
    <n v="0.46666666666666667"/>
    <x v="9"/>
  </r>
  <r>
    <n v="70"/>
    <x v="69"/>
    <s v="1969-1983"/>
    <n v="91"/>
    <n v="155"/>
    <n v="10"/>
    <n v="6080"/>
    <n v="222"/>
    <n v="41.93"/>
    <n v="14"/>
    <n v="35"/>
    <n v="10"/>
    <n v="6.4516129032258063E-2"/>
    <n v="39.225806451612904"/>
    <n v="49"/>
    <n v="0.2857142857142857"/>
    <x v="57"/>
  </r>
  <r>
    <n v="71"/>
    <x v="70"/>
    <s v="1983-1995"/>
    <n v="86"/>
    <n v="146"/>
    <n v="12"/>
    <n v="5949"/>
    <n v="194"/>
    <n v="44.39"/>
    <n v="16"/>
    <n v="27"/>
    <n v="8"/>
    <n v="8.2191780821917804E-2"/>
    <n v="40.746575342465754"/>
    <n v="43"/>
    <n v="0.37209302325581395"/>
    <x v="58"/>
  </r>
  <r>
    <n v="72"/>
    <x v="71"/>
    <s v="2000-2011"/>
    <n v="87"/>
    <n v="154"/>
    <n v="8"/>
    <n v="5842"/>
    <n v="291"/>
    <n v="40.01"/>
    <n v="15"/>
    <n v="31"/>
    <n v="12"/>
    <n v="5.1948051948051951E-2"/>
    <n v="37.935064935064936"/>
    <n v="46"/>
    <n v="0.32608695652173914"/>
    <x v="22"/>
  </r>
  <r>
    <n v="73"/>
    <x v="72"/>
    <s v="2000-2006"/>
    <n v="76"/>
    <n v="143"/>
    <n v="10"/>
    <n v="5825"/>
    <n v="219"/>
    <n v="43.79"/>
    <n v="14"/>
    <n v="29"/>
    <n v="12"/>
    <n v="6.9930069930069935E-2"/>
    <n v="40.734265734265733"/>
    <n v="43"/>
    <n v="0.32558139534883723"/>
    <x v="59"/>
  </r>
  <r>
    <n v="74"/>
    <x v="73"/>
    <s v="1937-1957"/>
    <n v="78"/>
    <n v="131"/>
    <n v="15"/>
    <n v="5807"/>
    <n v="278"/>
    <n v="50.06"/>
    <n v="17"/>
    <n v="28"/>
    <n v="10"/>
    <n v="0.11450381679389313"/>
    <n v="44.328244274809158"/>
    <n v="45"/>
    <n v="0.37777777777777777"/>
    <x v="20"/>
  </r>
  <r>
    <n v="75"/>
    <x v="74"/>
    <s v="1982-1999"/>
    <n v="103"/>
    <n v="154"/>
    <n v="22"/>
    <n v="5768"/>
    <n v="237"/>
    <n v="43.69"/>
    <n v="15"/>
    <n v="29"/>
    <n v="12"/>
    <n v="0.14285714285714285"/>
    <n v="37.454545454545453"/>
    <n v="44"/>
    <n v="0.34090909090909088"/>
    <x v="60"/>
  </r>
  <r>
    <n v="76"/>
    <x v="75"/>
    <s v="1990-2004"/>
    <n v="96"/>
    <n v="171"/>
    <n v="16"/>
    <n v="5764"/>
    <n v="207"/>
    <n v="37.18"/>
    <n v="14"/>
    <n v="33"/>
    <n v="14"/>
    <n v="9.3567251461988299E-2"/>
    <n v="33.707602339181285"/>
    <n v="47"/>
    <n v="0.2978723404255319"/>
    <x v="61"/>
  </r>
  <r>
    <n v="77"/>
    <x v="76"/>
    <s v="1987-2002"/>
    <n v="102"/>
    <n v="173"/>
    <n v="15"/>
    <n v="5762"/>
    <n v="233"/>
    <n v="36.46"/>
    <n v="13"/>
    <n v="27"/>
    <n v="13"/>
    <n v="8.6705202312138727E-2"/>
    <n v="33.306358381502889"/>
    <n v="40"/>
    <n v="0.32500000000000001"/>
    <x v="62"/>
  </r>
  <r>
    <n v="78"/>
    <x v="77"/>
    <s v="1999-2008"/>
    <n v="82"/>
    <n v="147"/>
    <n v="9"/>
    <n v="5719"/>
    <n v="197"/>
    <n v="41.44"/>
    <n v="18"/>
    <n v="18"/>
    <n v="9"/>
    <n v="6.1224489795918366E-2"/>
    <n v="38.904761904761905"/>
    <n v="36"/>
    <n v="0.5"/>
    <x v="63"/>
  </r>
  <r>
    <n v="79"/>
    <x v="78"/>
    <s v="1999-2008"/>
    <n v="96"/>
    <n v="137"/>
    <n v="20"/>
    <n v="5570"/>
    <s v="204*"/>
    <n v="47.6"/>
    <n v="17"/>
    <n v="26"/>
    <n v="14"/>
    <n v="0.145985401459854"/>
    <n v="40.65693430656934"/>
    <n v="43"/>
    <n v="0.39534883720930231"/>
    <x v="64"/>
  </r>
  <r>
    <n v="80"/>
    <x v="79"/>
    <s v="1997-2012"/>
    <n v="147"/>
    <n v="206"/>
    <n v="24"/>
    <n v="5515"/>
    <n v="125"/>
    <n v="30.3"/>
    <n v="5"/>
    <n v="35"/>
    <n v="17"/>
    <n v="0.11650485436893204"/>
    <n v="26.771844660194176"/>
    <n v="40"/>
    <n v="0.125"/>
    <x v="65"/>
  </r>
  <r>
    <n v="81"/>
    <x v="80"/>
    <s v="1990-2007"/>
    <n v="90"/>
    <n v="156"/>
    <n v="15"/>
    <n v="5502"/>
    <n v="249"/>
    <n v="39.020000000000003"/>
    <n v="16"/>
    <n v="17"/>
    <n v="22"/>
    <n v="9.6153846153846159E-2"/>
    <n v="35.269230769230766"/>
    <n v="33"/>
    <n v="0.48484848484848486"/>
    <x v="66"/>
  </r>
  <r>
    <n v="82"/>
    <x v="81"/>
    <s v="1999-2013"/>
    <n v="87"/>
    <n v="145"/>
    <n v="11"/>
    <n v="5492"/>
    <n v="193"/>
    <n v="40.98"/>
    <n v="16"/>
    <n v="23"/>
    <n v="14"/>
    <n v="7.586206896551724E-2"/>
    <n v="37.875862068965517"/>
    <n v="39"/>
    <n v="0.41025641025641024"/>
    <x v="67"/>
  </r>
  <r>
    <n v="83"/>
    <x v="82"/>
    <s v="2001-2013"/>
    <n v="81"/>
    <n v="132"/>
    <n v="20"/>
    <n v="5462"/>
    <n v="231"/>
    <n v="48.76"/>
    <n v="14"/>
    <n v="30"/>
    <n v="11"/>
    <n v="0.15151515151515152"/>
    <n v="41.378787878787875"/>
    <n v="44"/>
    <n v="0.31818181818181818"/>
    <x v="68"/>
  </r>
  <r>
    <n v="84"/>
    <x v="83"/>
    <s v="2012-2021"/>
    <n v="74"/>
    <n v="143"/>
    <n v="5"/>
    <n v="5454"/>
    <n v="244"/>
    <n v="39.520000000000003"/>
    <n v="13"/>
    <n v="27"/>
    <n v="12"/>
    <n v="3.4965034965034968E-2"/>
    <n v="38.13986013986014"/>
    <n v="40"/>
    <n v="0.32500000000000001"/>
    <x v="69"/>
  </r>
  <r>
    <n v="85"/>
    <x v="84"/>
    <s v="1982-1995"/>
    <n v="77"/>
    <n v="131"/>
    <n v="11"/>
    <n v="5444"/>
    <n v="299"/>
    <n v="45.36"/>
    <n v="17"/>
    <n v="18"/>
    <n v="9"/>
    <n v="8.3969465648854963E-2"/>
    <n v="41.55725190839695"/>
    <n v="35"/>
    <n v="0.48571428571428571"/>
    <x v="70"/>
  </r>
  <r>
    <n v="86"/>
    <x v="85"/>
    <s v="1908-1930"/>
    <n v="61"/>
    <n v="102"/>
    <n v="7"/>
    <n v="5410"/>
    <n v="211"/>
    <n v="56.94"/>
    <n v="15"/>
    <n v="28"/>
    <n v="4"/>
    <n v="6.8627450980392163E-2"/>
    <n v="53.03921568627451"/>
    <n v="43"/>
    <n v="0.34883720930232559"/>
    <x v="71"/>
  </r>
  <r>
    <n v="87"/>
    <x v="86"/>
    <s v="1965-1981"/>
    <n v="74"/>
    <n v="125"/>
    <n v="14"/>
    <n v="5357"/>
    <n v="250"/>
    <n v="48.26"/>
    <n v="15"/>
    <n v="33"/>
    <n v="4"/>
    <n v="0.112"/>
    <n v="42.856000000000002"/>
    <n v="48"/>
    <n v="0.3125"/>
    <x v="31"/>
  </r>
  <r>
    <n v="88"/>
    <x v="87"/>
    <s v="1964-1980"/>
    <n v="75"/>
    <n v="136"/>
    <n v="10"/>
    <n v="5345"/>
    <n v="196"/>
    <n v="42.42"/>
    <n v="14"/>
    <n v="26"/>
    <n v="11"/>
    <n v="7.3529411764705885E-2"/>
    <n v="39.301470588235297"/>
    <n v="40"/>
    <n v="0.35"/>
    <x v="72"/>
  </r>
  <r>
    <n v="89"/>
    <x v="88"/>
    <s v="1978-1993"/>
    <n v="82"/>
    <n v="148"/>
    <n v="7"/>
    <n v="5334"/>
    <n v="185"/>
    <n v="37.82"/>
    <n v="12"/>
    <n v="23"/>
    <n v="7"/>
    <n v="4.72972972972973E-2"/>
    <n v="36.04054054054054"/>
    <n v="35"/>
    <n v="0.34285714285714286"/>
    <x v="29"/>
  </r>
  <r>
    <n v="90"/>
    <x v="89"/>
    <s v="1993-2001"/>
    <n v="74"/>
    <n v="131"/>
    <n v="7"/>
    <n v="5312"/>
    <n v="219"/>
    <n v="42.83"/>
    <n v="14"/>
    <n v="21"/>
    <n v="9"/>
    <n v="5.3435114503816793E-2"/>
    <n v="40.549618320610683"/>
    <n v="35"/>
    <n v="0.4"/>
    <x v="59"/>
  </r>
  <r>
    <n v="91"/>
    <x v="90"/>
    <s v="1978-1994"/>
    <n v="131"/>
    <n v="184"/>
    <n v="15"/>
    <n v="5248"/>
    <n v="163"/>
    <n v="31.05"/>
    <n v="8"/>
    <n v="27"/>
    <n v="16"/>
    <n v="8.1521739130434784E-2"/>
    <n v="28.521739130434781"/>
    <n v="35"/>
    <n v="0.22857142857142856"/>
    <x v="73"/>
  </r>
  <r>
    <n v="92"/>
    <x v="91"/>
    <s v="1961-1971"/>
    <n v="67"/>
    <n v="123"/>
    <n v="12"/>
    <n v="5234"/>
    <n v="210"/>
    <n v="47.15"/>
    <n v="13"/>
    <n v="27"/>
    <n v="6"/>
    <n v="9.7560975609756101E-2"/>
    <n v="42.552845528455286"/>
    <n v="40"/>
    <n v="0.32500000000000001"/>
    <x v="74"/>
  </r>
  <r>
    <n v="93"/>
    <x v="92"/>
    <s v="2001-2017"/>
    <n v="75"/>
    <n v="132"/>
    <n v="20"/>
    <n v="5222"/>
    <s v="161*"/>
    <n v="46.62"/>
    <n v="10"/>
    <n v="39"/>
    <n v="9"/>
    <n v="0.15151515151515152"/>
    <n v="39.560606060606062"/>
    <n v="49"/>
    <n v="0.20408163265306123"/>
    <x v="75"/>
  </r>
  <r>
    <n v="94"/>
    <x v="93"/>
    <s v="1977-1992"/>
    <n v="102"/>
    <n v="161"/>
    <n v="6"/>
    <n v="5200"/>
    <n v="208"/>
    <n v="33.54"/>
    <n v="14"/>
    <n v="22"/>
    <n v="14"/>
    <n v="3.7267080745341616E-2"/>
    <n v="32.298136645962735"/>
    <n v="36"/>
    <n v="0.3888888888888889"/>
    <x v="76"/>
  </r>
  <r>
    <n v="95"/>
    <x v="94"/>
    <s v="1963-1976"/>
    <n v="77"/>
    <n v="127"/>
    <n v="9"/>
    <n v="5138"/>
    <s v="310*"/>
    <n v="43.54"/>
    <n v="12"/>
    <n v="24"/>
    <n v="6"/>
    <n v="7.0866141732283464E-2"/>
    <n v="40.45669291338583"/>
    <n v="36"/>
    <n v="0.33333333333333331"/>
    <x v="77"/>
  </r>
  <r>
    <n v="96"/>
    <x v="95"/>
    <s v="1982-2000"/>
    <n v="93"/>
    <n v="155"/>
    <n v="12"/>
    <n v="5105"/>
    <s v="135*"/>
    <n v="35.69"/>
    <n v="4"/>
    <n v="38"/>
    <n v="12"/>
    <n v="7.7419354838709681E-2"/>
    <n v="32.935483870967744"/>
    <n v="42"/>
    <n v="9.5238095238095233E-2"/>
    <x v="78"/>
  </r>
  <r>
    <n v="97"/>
    <x v="96"/>
    <s v="1969-1985"/>
    <n v="78"/>
    <n v="124"/>
    <n v="11"/>
    <n v="5062"/>
    <n v="274"/>
    <n v="44.79"/>
    <n v="12"/>
    <n v="20"/>
    <n v="10"/>
    <n v="8.8709677419354843E-2"/>
    <n v="40.822580645161288"/>
    <n v="32"/>
    <n v="0.375"/>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14" firstHeaderRow="1" firstDataRow="1" firstDataCol="1"/>
  <pivotFields count="17">
    <pivotField showAll="0"/>
    <pivotField axis="axisRow" showAll="0" measureFilter="1" sortType="descending">
      <items count="98">
        <item x="96"/>
        <item x="12"/>
        <item x="47"/>
        <item x="91"/>
        <item x="19"/>
        <item x="23"/>
        <item x="31"/>
        <item x="82"/>
        <item x="81"/>
        <item x="54"/>
        <item x="10"/>
        <item x="0"/>
        <item x="35"/>
        <item x="50"/>
        <item x="11"/>
        <item x="49"/>
        <item x="74"/>
        <item x="7"/>
        <item x="1"/>
        <item x="71"/>
        <item x="68"/>
        <item x="70"/>
        <item x="65"/>
        <item x="3"/>
        <item x="62"/>
        <item x="90"/>
        <item x="75"/>
        <item x="79"/>
        <item x="80"/>
        <item x="77"/>
        <item x="39"/>
        <item x="22"/>
        <item x="89"/>
        <item x="21"/>
        <item x="92"/>
        <item x="64"/>
        <item x="30"/>
        <item x="72"/>
        <item x="84"/>
        <item x="36"/>
        <item x="40"/>
        <item x="32"/>
        <item x="66"/>
        <item x="37"/>
        <item x="55"/>
        <item x="46"/>
        <item x="27"/>
        <item x="57"/>
        <item x="86"/>
        <item x="5"/>
        <item x="34"/>
        <item x="2"/>
        <item x="94"/>
        <item x="88"/>
        <item x="13"/>
        <item x="85"/>
        <item x="17"/>
        <item x="24"/>
        <item x="93"/>
        <item x="33"/>
        <item x="18"/>
        <item x="87"/>
        <item x="14"/>
        <item x="67"/>
        <item x="29"/>
        <item x="51"/>
        <item x="69"/>
        <item x="58"/>
        <item x="15"/>
        <item x="16"/>
        <item x="45"/>
        <item x="28"/>
        <item x="83"/>
        <item x="8"/>
        <item x="43"/>
        <item x="26"/>
        <item x="53"/>
        <item x="73"/>
        <item x="44"/>
        <item x="56"/>
        <item x="42"/>
        <item x="76"/>
        <item x="41"/>
        <item x="48"/>
        <item x="38"/>
        <item x="60"/>
        <item x="6"/>
        <item x="61"/>
        <item x="59"/>
        <item x="9"/>
        <item x="4"/>
        <item x="52"/>
        <item x="25"/>
        <item x="63"/>
        <item x="78"/>
        <item x="20"/>
        <item x="95"/>
        <item t="default"/>
      </items>
    </pivotField>
    <pivotField showAll="0"/>
    <pivotField showAll="0"/>
    <pivotField showAll="0"/>
    <pivotField showAll="0"/>
    <pivotField dataField="1" showAll="0"/>
    <pivotField showAll="0"/>
    <pivotField showAll="0"/>
    <pivotField showAll="0"/>
    <pivotField showAll="0"/>
    <pivotField showAll="0"/>
    <pivotField numFmtId="10" showAll="0"/>
    <pivotField numFmtId="2" showAll="0"/>
    <pivotField showAll="0"/>
    <pivotField numFmtId="10" showAll="0"/>
    <pivotField showAll="0" defaultSubtotal="0"/>
  </pivotFields>
  <rowFields count="1">
    <field x="1"/>
  </rowFields>
  <rowItems count="11">
    <i>
      <x v="11"/>
    </i>
    <i>
      <x v="17"/>
    </i>
    <i>
      <x v="18"/>
    </i>
    <i>
      <x v="23"/>
    </i>
    <i>
      <x v="49"/>
    </i>
    <i>
      <x v="51"/>
    </i>
    <i>
      <x v="73"/>
    </i>
    <i>
      <x v="86"/>
    </i>
    <i>
      <x v="89"/>
    </i>
    <i>
      <x v="90"/>
    </i>
    <i t="grand">
      <x/>
    </i>
  </rowItems>
  <colItems count="1">
    <i/>
  </colItems>
  <dataFields count="1">
    <dataField name="Sum of Runs"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4" firstHeaderRow="1" firstDataRow="1" firstDataCol="1"/>
  <pivotFields count="17">
    <pivotField showAll="0"/>
    <pivotField axis="axisRow" showAll="0" measureFilter="1" sortType="descending">
      <items count="98">
        <item x="95"/>
        <item x="20"/>
        <item x="78"/>
        <item x="63"/>
        <item x="25"/>
        <item x="52"/>
        <item x="4"/>
        <item x="9"/>
        <item x="59"/>
        <item x="61"/>
        <item x="6"/>
        <item x="60"/>
        <item x="38"/>
        <item x="48"/>
        <item x="41"/>
        <item x="76"/>
        <item x="42"/>
        <item x="56"/>
        <item x="44"/>
        <item x="73"/>
        <item x="53"/>
        <item x="26"/>
        <item x="43"/>
        <item x="8"/>
        <item x="83"/>
        <item x="28"/>
        <item x="45"/>
        <item x="16"/>
        <item x="15"/>
        <item x="58"/>
        <item x="69"/>
        <item x="51"/>
        <item x="29"/>
        <item x="67"/>
        <item x="14"/>
        <item x="87"/>
        <item x="18"/>
        <item x="33"/>
        <item x="93"/>
        <item x="24"/>
        <item x="17"/>
        <item x="85"/>
        <item x="13"/>
        <item x="88"/>
        <item x="94"/>
        <item x="2"/>
        <item x="34"/>
        <item x="5"/>
        <item x="86"/>
        <item x="57"/>
        <item x="27"/>
        <item x="46"/>
        <item x="55"/>
        <item x="37"/>
        <item x="66"/>
        <item x="32"/>
        <item x="40"/>
        <item x="36"/>
        <item x="84"/>
        <item x="72"/>
        <item x="30"/>
        <item x="64"/>
        <item x="92"/>
        <item x="21"/>
        <item x="89"/>
        <item x="22"/>
        <item x="39"/>
        <item x="77"/>
        <item x="80"/>
        <item x="79"/>
        <item x="75"/>
        <item x="90"/>
        <item x="62"/>
        <item x="3"/>
        <item x="65"/>
        <item x="70"/>
        <item x="68"/>
        <item x="71"/>
        <item x="1"/>
        <item x="7"/>
        <item x="74"/>
        <item x="49"/>
        <item x="11"/>
        <item x="50"/>
        <item x="35"/>
        <item x="0"/>
        <item x="10"/>
        <item x="54"/>
        <item x="81"/>
        <item x="82"/>
        <item x="31"/>
        <item x="23"/>
        <item x="19"/>
        <item x="91"/>
        <item x="47"/>
        <item x="1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numFmtId="10" showAll="0"/>
    <pivotField numFmtId="2" showAll="0"/>
    <pivotField showAll="0"/>
    <pivotField numFmtId="10" showAll="0"/>
    <pivotField showAll="0" defaultSubtotal="0"/>
  </pivotFields>
  <rowFields count="1">
    <field x="1"/>
  </rowFields>
  <rowItems count="11">
    <i>
      <x v="20"/>
    </i>
    <i>
      <x v="84"/>
    </i>
    <i>
      <x v="49"/>
    </i>
    <i>
      <x v="94"/>
    </i>
    <i>
      <x v="32"/>
    </i>
    <i>
      <x v="47"/>
    </i>
    <i>
      <x v="41"/>
    </i>
    <i>
      <x v="52"/>
    </i>
    <i>
      <x v="45"/>
    </i>
    <i>
      <x v="31"/>
    </i>
    <i t="grand">
      <x/>
    </i>
  </rowItems>
  <colItems count="1">
    <i/>
  </colItems>
  <dataFields count="1">
    <dataField name="Average of Ave" fld="8"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4" firstHeaderRow="1" firstDataRow="1" firstDataCol="1"/>
  <pivotFields count="17">
    <pivotField showAll="0"/>
    <pivotField axis="axisRow" showAll="0" measureFilter="1" sortType="descending">
      <items count="98">
        <item x="95"/>
        <item x="20"/>
        <item x="78"/>
        <item x="63"/>
        <item x="25"/>
        <item x="52"/>
        <item x="4"/>
        <item x="9"/>
        <item x="59"/>
        <item x="61"/>
        <item x="6"/>
        <item x="60"/>
        <item x="38"/>
        <item x="48"/>
        <item x="41"/>
        <item x="76"/>
        <item x="42"/>
        <item x="56"/>
        <item x="44"/>
        <item x="73"/>
        <item x="53"/>
        <item x="26"/>
        <item x="43"/>
        <item x="8"/>
        <item x="83"/>
        <item x="28"/>
        <item x="45"/>
        <item x="16"/>
        <item x="15"/>
        <item x="58"/>
        <item x="69"/>
        <item x="51"/>
        <item x="29"/>
        <item x="67"/>
        <item x="14"/>
        <item x="87"/>
        <item x="18"/>
        <item x="33"/>
        <item x="93"/>
        <item x="24"/>
        <item x="17"/>
        <item x="85"/>
        <item x="13"/>
        <item x="88"/>
        <item x="94"/>
        <item x="2"/>
        <item x="34"/>
        <item x="5"/>
        <item x="86"/>
        <item x="57"/>
        <item x="27"/>
        <item x="46"/>
        <item x="55"/>
        <item x="37"/>
        <item x="66"/>
        <item x="32"/>
        <item x="40"/>
        <item x="36"/>
        <item x="84"/>
        <item x="72"/>
        <item x="30"/>
        <item x="64"/>
        <item x="92"/>
        <item x="21"/>
        <item x="89"/>
        <item x="22"/>
        <item x="39"/>
        <item x="77"/>
        <item x="80"/>
        <item x="79"/>
        <item x="75"/>
        <item x="90"/>
        <item x="62"/>
        <item x="3"/>
        <item x="65"/>
        <item x="70"/>
        <item x="68"/>
        <item x="71"/>
        <item x="1"/>
        <item x="7"/>
        <item x="74"/>
        <item x="49"/>
        <item x="11"/>
        <item x="50"/>
        <item x="35"/>
        <item x="0"/>
        <item x="10"/>
        <item x="54"/>
        <item x="81"/>
        <item x="82"/>
        <item x="31"/>
        <item x="23"/>
        <item x="19"/>
        <item x="91"/>
        <item x="47"/>
        <item x="1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0" showAll="0"/>
    <pivotField numFmtId="2" showAll="0"/>
    <pivotField showAll="0"/>
    <pivotField numFmtId="10" showAll="0"/>
    <pivotField dataField="1" showAll="0" defaultSubtotal="0">
      <items count="79">
        <item x="65"/>
        <item x="78"/>
        <item x="28"/>
        <item x="75"/>
        <item x="73"/>
        <item x="49"/>
        <item x="46"/>
        <item x="33"/>
        <item x="40"/>
        <item x="29"/>
        <item x="23"/>
        <item x="67"/>
        <item x="58"/>
        <item x="54"/>
        <item x="72"/>
        <item x="63"/>
        <item x="55"/>
        <item x="10"/>
        <item x="7"/>
        <item x="64"/>
        <item x="9"/>
        <item x="52"/>
        <item x="61"/>
        <item x="76"/>
        <item x="74"/>
        <item x="71"/>
        <item x="24"/>
        <item x="59"/>
        <item x="57"/>
        <item x="36"/>
        <item x="2"/>
        <item x="35"/>
        <item x="25"/>
        <item x="56"/>
        <item x="68"/>
        <item x="62"/>
        <item x="30"/>
        <item x="11"/>
        <item x="60"/>
        <item x="32"/>
        <item x="38"/>
        <item x="69"/>
        <item x="26"/>
        <item x="45"/>
        <item x="0"/>
        <item x="66"/>
        <item x="31"/>
        <item x="42"/>
        <item x="13"/>
        <item x="50"/>
        <item x="1"/>
        <item x="53"/>
        <item x="3"/>
        <item x="44"/>
        <item x="41"/>
        <item x="15"/>
        <item x="20"/>
        <item x="17"/>
        <item x="19"/>
        <item x="34"/>
        <item x="22"/>
        <item x="4"/>
        <item x="70"/>
        <item x="51"/>
        <item x="77"/>
        <item x="14"/>
        <item x="12"/>
        <item x="5"/>
        <item x="18"/>
        <item x="16"/>
        <item x="37"/>
        <item x="39"/>
        <item x="43"/>
        <item x="47"/>
        <item x="48"/>
        <item x="27"/>
        <item x="8"/>
        <item x="21"/>
        <item x="6"/>
      </items>
    </pivotField>
  </pivotFields>
  <rowFields count="1">
    <field x="1"/>
  </rowFields>
  <rowItems count="11">
    <i>
      <x v="10"/>
    </i>
    <i>
      <x v="65"/>
    </i>
    <i>
      <x v="23"/>
    </i>
    <i>
      <x v="32"/>
    </i>
    <i>
      <x v="52"/>
    </i>
    <i>
      <x v="87"/>
    </i>
    <i>
      <x v="94"/>
    </i>
    <i>
      <x v="16"/>
    </i>
    <i>
      <x v="20"/>
    </i>
    <i>
      <x v="56"/>
    </i>
    <i t="grand">
      <x/>
    </i>
  </rowItems>
  <colItems count="1">
    <i/>
  </colItems>
  <dataFields count="1">
    <dataField name="Sum of HS Numeric"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12" firstHeaderRow="1" firstDataRow="1" firstDataCol="1"/>
  <pivotFields count="17">
    <pivotField showAll="0"/>
    <pivotField axis="axisRow" showAll="0" measureFilter="1" sortType="descending">
      <items count="98">
        <item x="95"/>
        <item x="20"/>
        <item x="78"/>
        <item x="63"/>
        <item x="25"/>
        <item x="52"/>
        <item x="4"/>
        <item x="9"/>
        <item x="59"/>
        <item x="61"/>
        <item x="6"/>
        <item x="60"/>
        <item x="38"/>
        <item x="48"/>
        <item x="41"/>
        <item x="76"/>
        <item x="42"/>
        <item x="56"/>
        <item x="44"/>
        <item x="73"/>
        <item x="53"/>
        <item x="26"/>
        <item x="43"/>
        <item x="8"/>
        <item x="83"/>
        <item x="28"/>
        <item x="45"/>
        <item x="16"/>
        <item x="15"/>
        <item x="58"/>
        <item x="69"/>
        <item x="51"/>
        <item x="29"/>
        <item x="67"/>
        <item x="14"/>
        <item x="87"/>
        <item x="18"/>
        <item x="33"/>
        <item x="93"/>
        <item x="24"/>
        <item x="17"/>
        <item x="85"/>
        <item x="13"/>
        <item x="88"/>
        <item x="94"/>
        <item x="2"/>
        <item x="34"/>
        <item x="5"/>
        <item x="86"/>
        <item x="57"/>
        <item x="27"/>
        <item x="46"/>
        <item x="55"/>
        <item x="37"/>
        <item x="66"/>
        <item x="32"/>
        <item x="40"/>
        <item x="36"/>
        <item x="84"/>
        <item x="72"/>
        <item x="30"/>
        <item x="64"/>
        <item x="92"/>
        <item x="21"/>
        <item x="89"/>
        <item x="22"/>
        <item x="39"/>
        <item x="77"/>
        <item x="80"/>
        <item x="79"/>
        <item x="75"/>
        <item x="90"/>
        <item x="62"/>
        <item x="3"/>
        <item x="65"/>
        <item x="70"/>
        <item x="68"/>
        <item x="71"/>
        <item x="1"/>
        <item x="7"/>
        <item x="74"/>
        <item x="49"/>
        <item x="11"/>
        <item x="50"/>
        <item x="35"/>
        <item x="0"/>
        <item x="10"/>
        <item x="54"/>
        <item x="81"/>
        <item x="82"/>
        <item x="31"/>
        <item x="23"/>
        <item x="19"/>
        <item x="91"/>
        <item x="47"/>
        <item x="1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numFmtId="10" showAll="0"/>
    <pivotField numFmtId="2" showAll="0"/>
    <pivotField showAll="0"/>
    <pivotField numFmtId="10" showAll="0"/>
    <pivotField showAll="0"/>
  </pivotFields>
  <rowFields count="1">
    <field x="1"/>
  </rowFields>
  <rowItems count="11">
    <i>
      <x v="85"/>
    </i>
    <i>
      <x v="45"/>
    </i>
    <i>
      <x v="78"/>
    </i>
    <i>
      <x v="47"/>
    </i>
    <i>
      <x v="73"/>
    </i>
    <i>
      <x v="95"/>
    </i>
    <i>
      <x v="10"/>
    </i>
    <i>
      <x v="82"/>
    </i>
    <i>
      <x v="23"/>
    </i>
    <i>
      <x v="6"/>
    </i>
    <i t="grand">
      <x/>
    </i>
  </rowItems>
  <colItems count="1">
    <i/>
  </colItems>
  <dataFields count="1">
    <dataField name="Sum of 100"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B12" firstHeaderRow="1" firstDataRow="1" firstDataCol="1"/>
  <pivotFields count="17">
    <pivotField showAll="0"/>
    <pivotField axis="axisRow" showAll="0" measureFilter="1" sortType="descending">
      <items count="98">
        <item x="95"/>
        <item x="20"/>
        <item x="78"/>
        <item x="63"/>
        <item x="25"/>
        <item x="52"/>
        <item x="4"/>
        <item x="9"/>
        <item x="59"/>
        <item x="61"/>
        <item x="6"/>
        <item x="60"/>
        <item x="38"/>
        <item x="48"/>
        <item x="41"/>
        <item x="76"/>
        <item x="42"/>
        <item x="56"/>
        <item x="44"/>
        <item x="73"/>
        <item x="53"/>
        <item x="26"/>
        <item x="43"/>
        <item x="8"/>
        <item x="83"/>
        <item x="28"/>
        <item x="45"/>
        <item x="16"/>
        <item x="15"/>
        <item x="58"/>
        <item x="69"/>
        <item x="51"/>
        <item x="29"/>
        <item x="67"/>
        <item x="14"/>
        <item x="87"/>
        <item x="18"/>
        <item x="33"/>
        <item x="93"/>
        <item x="24"/>
        <item x="17"/>
        <item x="85"/>
        <item x="13"/>
        <item x="88"/>
        <item x="94"/>
        <item x="2"/>
        <item x="34"/>
        <item x="5"/>
        <item x="86"/>
        <item x="57"/>
        <item x="27"/>
        <item x="46"/>
        <item x="55"/>
        <item x="37"/>
        <item x="66"/>
        <item x="32"/>
        <item x="40"/>
        <item x="36"/>
        <item x="84"/>
        <item x="72"/>
        <item x="30"/>
        <item x="64"/>
        <item x="92"/>
        <item x="21"/>
        <item x="89"/>
        <item x="22"/>
        <item x="39"/>
        <item x="77"/>
        <item x="80"/>
        <item x="79"/>
        <item x="75"/>
        <item x="90"/>
        <item x="62"/>
        <item x="3"/>
        <item x="65"/>
        <item x="70"/>
        <item x="68"/>
        <item x="71"/>
        <item x="1"/>
        <item x="7"/>
        <item x="74"/>
        <item x="49"/>
        <item x="11"/>
        <item x="50"/>
        <item x="35"/>
        <item x="0"/>
        <item x="10"/>
        <item x="54"/>
        <item x="81"/>
        <item x="82"/>
        <item x="31"/>
        <item x="23"/>
        <item x="19"/>
        <item x="91"/>
        <item x="47"/>
        <item x="1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10" showAll="0"/>
    <pivotField numFmtId="2" showAll="0"/>
    <pivotField showAll="0"/>
    <pivotField numFmtId="10" showAll="0"/>
    <pivotField showAll="0"/>
  </pivotFields>
  <rowFields count="1">
    <field x="1"/>
  </rowFields>
  <rowItems count="11">
    <i>
      <x v="85"/>
    </i>
    <i>
      <x v="79"/>
    </i>
    <i>
      <x v="7"/>
    </i>
    <i>
      <x v="73"/>
    </i>
    <i>
      <x v="78"/>
    </i>
    <i>
      <x v="45"/>
    </i>
    <i>
      <x v="6"/>
    </i>
    <i>
      <x v="92"/>
    </i>
    <i>
      <x v="47"/>
    </i>
    <i>
      <x v="42"/>
    </i>
    <i t="grand">
      <x/>
    </i>
  </rowItems>
  <colItems count="1">
    <i/>
  </colItems>
  <dataFields count="1">
    <dataField name="Sum of 50"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B16" firstHeaderRow="1" firstDataRow="1" firstDataCol="1"/>
  <pivotFields count="17">
    <pivotField showAll="0"/>
    <pivotField axis="axisRow" showAll="0" measureFilter="1" sortType="descending">
      <items count="98">
        <item x="95"/>
        <item x="20"/>
        <item x="78"/>
        <item x="63"/>
        <item x="25"/>
        <item x="52"/>
        <item x="4"/>
        <item x="9"/>
        <item x="59"/>
        <item x="61"/>
        <item x="6"/>
        <item x="60"/>
        <item x="38"/>
        <item x="48"/>
        <item x="41"/>
        <item x="76"/>
        <item x="42"/>
        <item x="56"/>
        <item x="44"/>
        <item x="73"/>
        <item x="53"/>
        <item x="26"/>
        <item x="43"/>
        <item x="8"/>
        <item x="83"/>
        <item x="28"/>
        <item x="45"/>
        <item x="16"/>
        <item x="15"/>
        <item x="58"/>
        <item x="69"/>
        <item x="51"/>
        <item x="29"/>
        <item x="67"/>
        <item x="14"/>
        <item x="87"/>
        <item x="18"/>
        <item x="33"/>
        <item x="93"/>
        <item x="24"/>
        <item x="17"/>
        <item x="85"/>
        <item x="13"/>
        <item x="88"/>
        <item x="94"/>
        <item x="2"/>
        <item x="34"/>
        <item x="5"/>
        <item x="86"/>
        <item x="57"/>
        <item x="27"/>
        <item x="46"/>
        <item x="55"/>
        <item x="37"/>
        <item x="66"/>
        <item x="32"/>
        <item x="40"/>
        <item x="36"/>
        <item x="84"/>
        <item x="72"/>
        <item x="30"/>
        <item x="64"/>
        <item x="92"/>
        <item x="21"/>
        <item x="89"/>
        <item x="22"/>
        <item x="39"/>
        <item x="77"/>
        <item x="80"/>
        <item x="79"/>
        <item x="75"/>
        <item x="90"/>
        <item x="62"/>
        <item x="3"/>
        <item x="65"/>
        <item x="70"/>
        <item x="68"/>
        <item x="71"/>
        <item x="1"/>
        <item x="7"/>
        <item x="74"/>
        <item x="49"/>
        <item x="11"/>
        <item x="50"/>
        <item x="35"/>
        <item x="0"/>
        <item x="10"/>
        <item x="54"/>
        <item x="81"/>
        <item x="82"/>
        <item x="31"/>
        <item x="23"/>
        <item x="19"/>
        <item x="91"/>
        <item x="47"/>
        <item x="1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0" showAll="0"/>
    <pivotField numFmtId="2" showAll="0"/>
    <pivotField showAll="0"/>
    <pivotField numFmtId="10" showAll="0"/>
    <pivotField showAll="0"/>
  </pivotFields>
  <rowFields count="1">
    <field x="1"/>
  </rowFields>
  <rowItems count="15">
    <i>
      <x v="86"/>
    </i>
    <i>
      <x v="68"/>
    </i>
    <i>
      <x v="55"/>
    </i>
    <i>
      <x v="95"/>
    </i>
    <i>
      <x v="60"/>
    </i>
    <i>
      <x v="8"/>
    </i>
    <i>
      <x v="10"/>
    </i>
    <i>
      <x v="78"/>
    </i>
    <i>
      <x v="69"/>
    </i>
    <i>
      <x v="91"/>
    </i>
    <i>
      <x v="45"/>
    </i>
    <i>
      <x v="71"/>
    </i>
    <i>
      <x v="83"/>
    </i>
    <i>
      <x v="18"/>
    </i>
    <i t="grand">
      <x/>
    </i>
  </rowItems>
  <colItems count="1">
    <i/>
  </colItems>
  <dataFields count="1">
    <dataField name="Sum of 0"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C99" firstHeaderRow="0" firstDataRow="1" firstDataCol="1"/>
  <pivotFields count="17">
    <pivotField showAll="0"/>
    <pivotField axis="axisRow" showAll="0">
      <items count="98">
        <item x="95"/>
        <item x="20"/>
        <item x="78"/>
        <item x="63"/>
        <item x="25"/>
        <item x="52"/>
        <item x="4"/>
        <item x="9"/>
        <item x="59"/>
        <item x="61"/>
        <item x="6"/>
        <item x="60"/>
        <item x="38"/>
        <item x="48"/>
        <item x="41"/>
        <item x="76"/>
        <item x="42"/>
        <item x="56"/>
        <item x="44"/>
        <item x="73"/>
        <item x="53"/>
        <item x="26"/>
        <item x="43"/>
        <item x="8"/>
        <item x="83"/>
        <item x="28"/>
        <item x="45"/>
        <item x="16"/>
        <item x="15"/>
        <item x="58"/>
        <item x="69"/>
        <item x="51"/>
        <item x="29"/>
        <item x="67"/>
        <item x="14"/>
        <item x="87"/>
        <item x="18"/>
        <item x="33"/>
        <item x="93"/>
        <item x="24"/>
        <item x="17"/>
        <item x="85"/>
        <item x="13"/>
        <item x="88"/>
        <item x="94"/>
        <item x="2"/>
        <item x="34"/>
        <item x="5"/>
        <item x="86"/>
        <item x="57"/>
        <item x="27"/>
        <item x="46"/>
        <item x="55"/>
        <item x="37"/>
        <item x="66"/>
        <item x="32"/>
        <item x="40"/>
        <item x="36"/>
        <item x="84"/>
        <item x="72"/>
        <item x="30"/>
        <item x="64"/>
        <item x="92"/>
        <item x="21"/>
        <item x="89"/>
        <item x="22"/>
        <item x="39"/>
        <item x="77"/>
        <item x="80"/>
        <item x="79"/>
        <item x="75"/>
        <item x="90"/>
        <item x="62"/>
        <item x="3"/>
        <item x="65"/>
        <item x="70"/>
        <item x="68"/>
        <item x="71"/>
        <item x="1"/>
        <item x="7"/>
        <item x="74"/>
        <item x="49"/>
        <item x="11"/>
        <item x="50"/>
        <item x="35"/>
        <item x="0"/>
        <item x="10"/>
        <item x="54"/>
        <item x="81"/>
        <item x="82"/>
        <item x="31"/>
        <item x="23"/>
        <item x="19"/>
        <item x="91"/>
        <item x="47"/>
        <item x="12"/>
        <item x="96"/>
        <item t="default"/>
      </items>
    </pivotField>
    <pivotField showAll="0"/>
    <pivotField dataField="1" showAll="0"/>
    <pivotField showAll="0"/>
    <pivotField showAll="0"/>
    <pivotField dataField="1" showAll="0"/>
    <pivotField showAll="0"/>
    <pivotField showAll="0"/>
    <pivotField showAll="0"/>
    <pivotField showAll="0"/>
    <pivotField showAll="0"/>
    <pivotField numFmtId="10" showAll="0"/>
    <pivotField numFmtId="2" showAll="0"/>
    <pivotField showAll="0"/>
    <pivotField numFmtId="10" showAll="0"/>
    <pivotField showAll="0"/>
  </pivotFields>
  <rowFields count="1">
    <field x="1"/>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2"/>
  </colFields>
  <colItems count="2">
    <i>
      <x/>
    </i>
    <i i="1">
      <x v="1"/>
    </i>
  </colItems>
  <dataFields count="2">
    <dataField name="Sum of Mat" fld="3" baseField="1" baseItem="0"/>
    <dataField name="Sum of Runs"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C12" firstHeaderRow="0" firstDataRow="1" firstDataCol="1"/>
  <pivotFields count="17">
    <pivotField showAll="0"/>
    <pivotField axis="axisRow" showAll="0" measureFilter="1" sortType="descending">
      <items count="98">
        <item x="95"/>
        <item x="20"/>
        <item x="78"/>
        <item x="63"/>
        <item x="25"/>
        <item x="52"/>
        <item x="4"/>
        <item x="9"/>
        <item x="59"/>
        <item x="61"/>
        <item x="6"/>
        <item x="60"/>
        <item x="38"/>
        <item x="48"/>
        <item x="41"/>
        <item x="76"/>
        <item x="42"/>
        <item x="56"/>
        <item x="44"/>
        <item x="73"/>
        <item x="53"/>
        <item x="26"/>
        <item x="43"/>
        <item x="8"/>
        <item x="83"/>
        <item x="28"/>
        <item x="45"/>
        <item x="16"/>
        <item x="15"/>
        <item x="58"/>
        <item x="69"/>
        <item x="51"/>
        <item x="29"/>
        <item x="67"/>
        <item x="14"/>
        <item x="87"/>
        <item x="18"/>
        <item x="33"/>
        <item x="93"/>
        <item x="24"/>
        <item x="17"/>
        <item x="85"/>
        <item x="13"/>
        <item x="88"/>
        <item x="94"/>
        <item x="2"/>
        <item x="34"/>
        <item x="5"/>
        <item x="86"/>
        <item x="57"/>
        <item x="27"/>
        <item x="46"/>
        <item x="55"/>
        <item x="37"/>
        <item x="66"/>
        <item x="32"/>
        <item x="40"/>
        <item x="36"/>
        <item x="84"/>
        <item x="72"/>
        <item x="30"/>
        <item x="64"/>
        <item x="92"/>
        <item x="21"/>
        <item x="89"/>
        <item x="22"/>
        <item x="39"/>
        <item x="77"/>
        <item x="80"/>
        <item x="79"/>
        <item x="75"/>
        <item x="90"/>
        <item x="62"/>
        <item x="3"/>
        <item x="65"/>
        <item x="70"/>
        <item x="68"/>
        <item x="71"/>
        <item x="1"/>
        <item x="7"/>
        <item x="74"/>
        <item x="49"/>
        <item x="11"/>
        <item x="50"/>
        <item x="35"/>
        <item x="0"/>
        <item x="10"/>
        <item x="54"/>
        <item x="81"/>
        <item x="82"/>
        <item x="31"/>
        <item x="23"/>
        <item x="19"/>
        <item x="91"/>
        <item x="47"/>
        <item x="1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numFmtId="10" showAll="0"/>
    <pivotField numFmtId="2" showAll="0"/>
    <pivotField showAll="0"/>
    <pivotField numFmtId="10" showAll="0"/>
    <pivotField showAll="0"/>
  </pivotFields>
  <rowFields count="1">
    <field x="1"/>
  </rowFields>
  <rowItems count="11">
    <i>
      <x v="85"/>
    </i>
    <i>
      <x v="45"/>
    </i>
    <i>
      <x v="78"/>
    </i>
    <i>
      <x v="47"/>
    </i>
    <i>
      <x v="73"/>
    </i>
    <i>
      <x v="95"/>
    </i>
    <i>
      <x v="10"/>
    </i>
    <i>
      <x v="82"/>
    </i>
    <i>
      <x v="23"/>
    </i>
    <i>
      <x v="6"/>
    </i>
    <i t="grand">
      <x/>
    </i>
  </rowItems>
  <colFields count="1">
    <field x="-2"/>
  </colFields>
  <colItems count="2">
    <i>
      <x/>
    </i>
    <i i="1">
      <x v="1"/>
    </i>
  </colItems>
  <dataFields count="2">
    <dataField name="Sum of 100" fld="9" baseField="0" baseItem="0"/>
    <dataField name="Sum of 50"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layer" sourceName="Player">
  <pivotTables>
    <pivotTable tabId="4" name="PivotTable2"/>
    <pivotTable tabId="12" name="PivotTable10"/>
    <pivotTable tabId="5" name="PivotTable3"/>
    <pivotTable tabId="8" name="PivotTable6"/>
    <pivotTable tabId="9" name="PivotTable7"/>
    <pivotTable tabId="7" name="PivotTable5"/>
  </pivotTables>
  <data>
    <tabular pivotCacheId="1">
      <items count="97">
        <i x="95" s="1"/>
        <i x="20" s="1"/>
        <i x="78" s="1"/>
        <i x="63" s="1"/>
        <i x="25" s="1"/>
        <i x="52" s="1"/>
        <i x="4" s="1"/>
        <i x="9" s="1"/>
        <i x="59" s="1"/>
        <i x="61" s="1"/>
        <i x="6" s="1"/>
        <i x="60" s="1"/>
        <i x="38" s="1"/>
        <i x="48" s="1"/>
        <i x="41" s="1"/>
        <i x="76" s="1"/>
        <i x="42" s="1"/>
        <i x="56" s="1"/>
        <i x="44" s="1"/>
        <i x="73" s="1"/>
        <i x="53" s="1"/>
        <i x="26" s="1"/>
        <i x="43" s="1"/>
        <i x="8" s="1"/>
        <i x="83" s="1"/>
        <i x="28" s="1"/>
        <i x="45" s="1"/>
        <i x="16" s="1"/>
        <i x="15" s="1"/>
        <i x="58" s="1"/>
        <i x="69" s="1"/>
        <i x="51" s="1"/>
        <i x="29" s="1"/>
        <i x="67" s="1"/>
        <i x="14" s="1"/>
        <i x="87" s="1"/>
        <i x="18" s="1"/>
        <i x="33" s="1"/>
        <i x="93" s="1"/>
        <i x="24" s="1"/>
        <i x="17" s="1"/>
        <i x="85" s="1"/>
        <i x="13" s="1"/>
        <i x="88" s="1"/>
        <i x="94" s="1"/>
        <i x="2" s="1"/>
        <i x="34" s="1"/>
        <i x="5" s="1"/>
        <i x="86" s="1"/>
        <i x="57" s="1"/>
        <i x="27" s="1"/>
        <i x="46" s="1"/>
        <i x="55" s="1"/>
        <i x="37" s="1"/>
        <i x="66" s="1"/>
        <i x="32" s="1"/>
        <i x="40" s="1"/>
        <i x="36" s="1"/>
        <i x="84" s="1"/>
        <i x="72" s="1"/>
        <i x="30" s="1"/>
        <i x="64" s="1"/>
        <i x="92" s="1"/>
        <i x="21" s="1"/>
        <i x="89" s="1"/>
        <i x="22" s="1"/>
        <i x="39" s="1"/>
        <i x="77" s="1"/>
        <i x="80" s="1"/>
        <i x="79" s="1"/>
        <i x="75" s="1"/>
        <i x="90" s="1"/>
        <i x="62" s="1"/>
        <i x="3" s="1"/>
        <i x="65" s="1"/>
        <i x="70" s="1"/>
        <i x="68" s="1"/>
        <i x="71" s="1"/>
        <i x="1" s="1"/>
        <i x="7" s="1"/>
        <i x="74" s="1"/>
        <i x="49" s="1"/>
        <i x="11" s="1"/>
        <i x="50" s="1"/>
        <i x="35" s="1"/>
        <i x="0" s="1"/>
        <i x="10" s="1"/>
        <i x="54" s="1"/>
        <i x="81" s="1"/>
        <i x="82" s="1"/>
        <i x="31" s="1"/>
        <i x="23" s="1"/>
        <i x="19" s="1"/>
        <i x="91" s="1"/>
        <i x="47" s="1"/>
        <i x="12" s="1"/>
        <i x="9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yer" cache="Slicer_Player" caption="Player" rowHeight="325966"/>
</slicers>
</file>

<file path=xl/slicers/slicer2.xml><?xml version="1.0" encoding="utf-8"?>
<slicers xmlns="http://schemas.microsoft.com/office/spreadsheetml/2009/9/main" xmlns:mc="http://schemas.openxmlformats.org/markup-compatibility/2006" xmlns:x="http://schemas.openxmlformats.org/spreadsheetml/2006/main" mc:Ignorable="x">
  <slicer name="Player 1" cache="Slicer_Player" caption="Player" rowHeight="325966"/>
</slicers>
</file>

<file path=xl/tables/table1.xml><?xml version="1.0" encoding="utf-8"?>
<table xmlns="http://schemas.openxmlformats.org/spreadsheetml/2006/main" id="1" name="Table1" displayName="Table1" ref="A1:Q98" totalsRowShown="0">
  <autoFilter ref="A1:Q98"/>
  <tableColumns count="17">
    <tableColumn id="1" name="Sr.No"/>
    <tableColumn id="2" name="Player"/>
    <tableColumn id="3" name="Span"/>
    <tableColumn id="4" name="Mat"/>
    <tableColumn id="5" name="Inns"/>
    <tableColumn id="6" name="NO"/>
    <tableColumn id="7" name="Runs"/>
    <tableColumn id="8" name="HS"/>
    <tableColumn id="9" name="Ave"/>
    <tableColumn id="10" name="100"/>
    <tableColumn id="11" name="50"/>
    <tableColumn id="12" name="0"/>
    <tableColumn id="13" name="Not Out %" dataDxfId="4" dataCellStyle="Percent">
      <calculatedColumnFormula>IF(E2=0,0,F2/E2)</calculatedColumnFormula>
    </tableColumn>
    <tableColumn id="14" name="Runs Per Innings" dataDxfId="3">
      <calculatedColumnFormula>IF(E2=0,0,G2/E2)</calculatedColumnFormula>
    </tableColumn>
    <tableColumn id="15" name="50+ Scores" dataDxfId="2">
      <calculatedColumnFormula>J2+K2</calculatedColumnFormula>
    </tableColumn>
    <tableColumn id="16" name="Century Contribution %" dataDxfId="1" dataCellStyle="Percent">
      <calculatedColumnFormula>IF(O2=0,0,J2/O2)</calculatedColumnFormula>
    </tableColumn>
    <tableColumn id="17" name="HS Numeric" dataDxfId="0">
      <calculatedColumnFormula>VALUE(SUBSTITUTE(H2,"*",""))</calculatedColumnFormula>
    </tableColumn>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8"/>
  <sheetViews>
    <sheetView topLeftCell="A91" workbookViewId="0">
      <selection activeCell="P2" sqref="P2"/>
    </sheetView>
  </sheetViews>
  <sheetFormatPr defaultRowHeight="24" x14ac:dyDescent="0.95"/>
  <cols>
    <col min="1" max="1" width="9.4609375" customWidth="1"/>
    <col min="2" max="2" width="23.69140625" customWidth="1"/>
    <col min="3" max="3" width="11.3828125" customWidth="1"/>
    <col min="7" max="8" width="11.3046875" customWidth="1"/>
    <col min="9" max="9" width="10.15234375" customWidth="1"/>
    <col min="10" max="10" width="9.84375" customWidth="1"/>
    <col min="11" max="11" width="10.4609375" customWidth="1"/>
    <col min="12" max="12" width="9.69140625" customWidth="1"/>
    <col min="13" max="13" width="14" customWidth="1"/>
    <col min="14" max="14" width="15.69140625" customWidth="1"/>
    <col min="15" max="15" width="10.3046875" customWidth="1"/>
    <col min="16" max="16" width="19.921875" customWidth="1"/>
    <col min="17" max="17" width="11.3046875" customWidth="1"/>
  </cols>
  <sheetData>
    <row r="1" spans="1:17" x14ac:dyDescent="0.95">
      <c r="A1" t="s">
        <v>225</v>
      </c>
      <c r="B1" t="s">
        <v>0</v>
      </c>
      <c r="C1" t="s">
        <v>1</v>
      </c>
      <c r="D1" t="s">
        <v>2</v>
      </c>
      <c r="E1" t="s">
        <v>3</v>
      </c>
      <c r="F1" t="s">
        <v>4</v>
      </c>
      <c r="G1" t="s">
        <v>5</v>
      </c>
      <c r="H1" t="s">
        <v>6</v>
      </c>
      <c r="I1" t="s">
        <v>7</v>
      </c>
      <c r="J1" t="s">
        <v>218</v>
      </c>
      <c r="K1" t="s">
        <v>219</v>
      </c>
      <c r="L1" t="s">
        <v>220</v>
      </c>
      <c r="M1" t="s">
        <v>221</v>
      </c>
      <c r="N1" t="s">
        <v>222</v>
      </c>
      <c r="O1" t="s">
        <v>223</v>
      </c>
      <c r="P1" t="s">
        <v>224</v>
      </c>
      <c r="Q1" t="s">
        <v>231</v>
      </c>
    </row>
    <row r="2" spans="1:17" x14ac:dyDescent="0.95">
      <c r="A2">
        <v>1</v>
      </c>
      <c r="B2" t="s">
        <v>8</v>
      </c>
      <c r="C2" t="s">
        <v>9</v>
      </c>
      <c r="D2">
        <v>200</v>
      </c>
      <c r="E2">
        <v>329</v>
      </c>
      <c r="F2">
        <v>33</v>
      </c>
      <c r="G2">
        <v>15921</v>
      </c>
      <c r="H2" t="s">
        <v>10</v>
      </c>
      <c r="I2">
        <v>53.78</v>
      </c>
      <c r="J2">
        <v>51</v>
      </c>
      <c r="K2">
        <v>68</v>
      </c>
      <c r="L2">
        <v>14</v>
      </c>
      <c r="M2" s="2">
        <f>IF(E2=0,0,F2/E2)</f>
        <v>0.10030395136778116</v>
      </c>
      <c r="N2" s="1">
        <f t="shared" ref="N2:N65" si="0">IF(E2=0,0,G2/E2)</f>
        <v>48.392097264437687</v>
      </c>
      <c r="O2">
        <f t="shared" ref="O2:O33" si="1">J2+K2</f>
        <v>119</v>
      </c>
      <c r="P2" s="2">
        <f>IF(O2=0,0,J2/O2)</f>
        <v>0.42857142857142855</v>
      </c>
      <c r="Q2">
        <f t="shared" ref="Q2:Q33" si="2">VALUE(SUBSTITUTE(H2,"*",""))</f>
        <v>248</v>
      </c>
    </row>
    <row r="3" spans="1:17" x14ac:dyDescent="0.95">
      <c r="A3">
        <v>2</v>
      </c>
      <c r="B3" t="s">
        <v>11</v>
      </c>
      <c r="C3" t="s">
        <v>12</v>
      </c>
      <c r="D3">
        <v>168</v>
      </c>
      <c r="E3">
        <v>287</v>
      </c>
      <c r="F3">
        <v>29</v>
      </c>
      <c r="G3">
        <v>13378</v>
      </c>
      <c r="H3">
        <v>257</v>
      </c>
      <c r="I3">
        <v>51.85</v>
      </c>
      <c r="J3">
        <v>41</v>
      </c>
      <c r="K3">
        <v>62</v>
      </c>
      <c r="L3">
        <v>17</v>
      </c>
      <c r="M3" s="2">
        <f t="shared" ref="M3:M66" si="3">IF(E3=0,0,F3/E3)</f>
        <v>0.10104529616724739</v>
      </c>
      <c r="N3" s="1">
        <f t="shared" si="0"/>
        <v>46.613240418118465</v>
      </c>
      <c r="O3">
        <f t="shared" si="1"/>
        <v>103</v>
      </c>
      <c r="P3" s="2">
        <f t="shared" ref="P3:P66" si="4">IF(O3=0,0,J3/O3)</f>
        <v>0.39805825242718446</v>
      </c>
      <c r="Q3">
        <f t="shared" si="2"/>
        <v>257</v>
      </c>
    </row>
    <row r="4" spans="1:17" x14ac:dyDescent="0.95">
      <c r="A4">
        <v>3</v>
      </c>
      <c r="B4" t="s">
        <v>13</v>
      </c>
      <c r="C4" t="s">
        <v>14</v>
      </c>
      <c r="D4">
        <v>166</v>
      </c>
      <c r="E4">
        <v>280</v>
      </c>
      <c r="F4">
        <v>40</v>
      </c>
      <c r="G4">
        <v>13289</v>
      </c>
      <c r="H4">
        <v>224</v>
      </c>
      <c r="I4">
        <v>55.37</v>
      </c>
      <c r="J4">
        <v>45</v>
      </c>
      <c r="K4">
        <v>58</v>
      </c>
      <c r="L4">
        <v>16</v>
      </c>
      <c r="M4" s="2">
        <f t="shared" si="3"/>
        <v>0.14285714285714285</v>
      </c>
      <c r="N4" s="1">
        <f t="shared" si="0"/>
        <v>47.460714285714289</v>
      </c>
      <c r="O4">
        <f t="shared" si="1"/>
        <v>103</v>
      </c>
      <c r="P4" s="2">
        <f t="shared" si="4"/>
        <v>0.43689320388349512</v>
      </c>
      <c r="Q4">
        <f t="shared" si="2"/>
        <v>224</v>
      </c>
    </row>
    <row r="5" spans="1:17" x14ac:dyDescent="0.95">
      <c r="A5">
        <v>4</v>
      </c>
      <c r="B5" t="s">
        <v>15</v>
      </c>
      <c r="C5" t="s">
        <v>16</v>
      </c>
      <c r="D5">
        <v>164</v>
      </c>
      <c r="E5">
        <v>286</v>
      </c>
      <c r="F5">
        <v>32</v>
      </c>
      <c r="G5">
        <v>13288</v>
      </c>
      <c r="H5">
        <v>270</v>
      </c>
      <c r="I5">
        <v>52.31</v>
      </c>
      <c r="J5">
        <v>36</v>
      </c>
      <c r="K5">
        <v>63</v>
      </c>
      <c r="L5">
        <v>8</v>
      </c>
      <c r="M5" s="2">
        <f t="shared" si="3"/>
        <v>0.11188811188811189</v>
      </c>
      <c r="N5" s="1">
        <f t="shared" si="0"/>
        <v>46.46153846153846</v>
      </c>
      <c r="O5">
        <f t="shared" si="1"/>
        <v>99</v>
      </c>
      <c r="P5" s="2">
        <f t="shared" si="4"/>
        <v>0.36363636363636365</v>
      </c>
      <c r="Q5">
        <f t="shared" si="2"/>
        <v>270</v>
      </c>
    </row>
    <row r="6" spans="1:17" x14ac:dyDescent="0.95">
      <c r="A6">
        <v>5</v>
      </c>
      <c r="B6" t="s">
        <v>17</v>
      </c>
      <c r="C6" t="s">
        <v>18</v>
      </c>
      <c r="D6">
        <v>161</v>
      </c>
      <c r="E6">
        <v>291</v>
      </c>
      <c r="F6">
        <v>16</v>
      </c>
      <c r="G6">
        <v>12472</v>
      </c>
      <c r="H6">
        <v>294</v>
      </c>
      <c r="I6">
        <v>45.35</v>
      </c>
      <c r="J6">
        <v>33</v>
      </c>
      <c r="K6">
        <v>57</v>
      </c>
      <c r="L6">
        <v>9</v>
      </c>
      <c r="M6" s="2">
        <f t="shared" si="3"/>
        <v>5.4982817869415807E-2</v>
      </c>
      <c r="N6" s="1">
        <f t="shared" si="0"/>
        <v>42.859106529209619</v>
      </c>
      <c r="O6">
        <f t="shared" si="1"/>
        <v>90</v>
      </c>
      <c r="P6" s="2">
        <f t="shared" si="4"/>
        <v>0.36666666666666664</v>
      </c>
      <c r="Q6">
        <f t="shared" si="2"/>
        <v>294</v>
      </c>
    </row>
    <row r="7" spans="1:17" x14ac:dyDescent="0.95">
      <c r="A7">
        <v>6</v>
      </c>
      <c r="B7" t="s">
        <v>19</v>
      </c>
      <c r="C7" t="s">
        <v>20</v>
      </c>
      <c r="D7">
        <v>134</v>
      </c>
      <c r="E7">
        <v>233</v>
      </c>
      <c r="F7">
        <v>17</v>
      </c>
      <c r="G7">
        <v>12400</v>
      </c>
      <c r="H7">
        <v>319</v>
      </c>
      <c r="I7">
        <v>57.4</v>
      </c>
      <c r="J7">
        <v>38</v>
      </c>
      <c r="K7">
        <v>52</v>
      </c>
      <c r="L7">
        <v>11</v>
      </c>
      <c r="M7" s="2">
        <f t="shared" si="3"/>
        <v>7.2961373390557943E-2</v>
      </c>
      <c r="N7" s="1">
        <f t="shared" si="0"/>
        <v>53.218884120171673</v>
      </c>
      <c r="O7">
        <f t="shared" si="1"/>
        <v>90</v>
      </c>
      <c r="P7" s="2">
        <f t="shared" si="4"/>
        <v>0.42222222222222222</v>
      </c>
      <c r="Q7">
        <f t="shared" si="2"/>
        <v>319</v>
      </c>
    </row>
    <row r="8" spans="1:17" x14ac:dyDescent="0.95">
      <c r="A8">
        <v>7</v>
      </c>
      <c r="B8" t="s">
        <v>21</v>
      </c>
      <c r="C8" t="s">
        <v>22</v>
      </c>
      <c r="D8">
        <v>131</v>
      </c>
      <c r="E8">
        <v>232</v>
      </c>
      <c r="F8">
        <v>6</v>
      </c>
      <c r="G8">
        <v>11953</v>
      </c>
      <c r="H8" t="s">
        <v>23</v>
      </c>
      <c r="I8">
        <v>52.88</v>
      </c>
      <c r="J8">
        <v>34</v>
      </c>
      <c r="K8">
        <v>48</v>
      </c>
      <c r="L8">
        <v>17</v>
      </c>
      <c r="M8" s="2">
        <f t="shared" si="3"/>
        <v>2.5862068965517241E-2</v>
      </c>
      <c r="N8" s="1">
        <f t="shared" si="0"/>
        <v>51.521551724137929</v>
      </c>
      <c r="O8">
        <f t="shared" si="1"/>
        <v>82</v>
      </c>
      <c r="P8" s="2">
        <f t="shared" si="4"/>
        <v>0.41463414634146339</v>
      </c>
      <c r="Q8">
        <f t="shared" si="2"/>
        <v>400</v>
      </c>
    </row>
    <row r="9" spans="1:17" x14ac:dyDescent="0.95">
      <c r="A9">
        <v>8</v>
      </c>
      <c r="B9" t="s">
        <v>24</v>
      </c>
      <c r="C9" t="s">
        <v>25</v>
      </c>
      <c r="D9">
        <v>164</v>
      </c>
      <c r="E9">
        <v>280</v>
      </c>
      <c r="F9">
        <v>49</v>
      </c>
      <c r="G9">
        <v>11867</v>
      </c>
      <c r="H9" t="s">
        <v>26</v>
      </c>
      <c r="I9">
        <v>51.37</v>
      </c>
      <c r="J9">
        <v>30</v>
      </c>
      <c r="K9">
        <v>66</v>
      </c>
      <c r="L9">
        <v>15</v>
      </c>
      <c r="M9" s="2">
        <f t="shared" si="3"/>
        <v>0.17499999999999999</v>
      </c>
      <c r="N9" s="1">
        <f t="shared" si="0"/>
        <v>42.38214285714286</v>
      </c>
      <c r="O9">
        <f t="shared" si="1"/>
        <v>96</v>
      </c>
      <c r="P9" s="2">
        <f t="shared" si="4"/>
        <v>0.3125</v>
      </c>
      <c r="Q9">
        <f t="shared" si="2"/>
        <v>203</v>
      </c>
    </row>
    <row r="10" spans="1:17" x14ac:dyDescent="0.95">
      <c r="A10">
        <v>9</v>
      </c>
      <c r="B10" t="s">
        <v>27</v>
      </c>
      <c r="C10" t="s">
        <v>28</v>
      </c>
      <c r="D10">
        <v>149</v>
      </c>
      <c r="E10">
        <v>252</v>
      </c>
      <c r="F10">
        <v>15</v>
      </c>
      <c r="G10">
        <v>11814</v>
      </c>
      <c r="H10">
        <v>374</v>
      </c>
      <c r="I10">
        <v>49.84</v>
      </c>
      <c r="J10">
        <v>34</v>
      </c>
      <c r="K10">
        <v>50</v>
      </c>
      <c r="L10">
        <v>15</v>
      </c>
      <c r="M10" s="2">
        <f t="shared" si="3"/>
        <v>5.9523809523809521E-2</v>
      </c>
      <c r="N10" s="1">
        <f t="shared" si="0"/>
        <v>46.88095238095238</v>
      </c>
      <c r="O10">
        <f t="shared" si="1"/>
        <v>84</v>
      </c>
      <c r="P10" s="2">
        <f t="shared" si="4"/>
        <v>0.40476190476190477</v>
      </c>
      <c r="Q10">
        <f t="shared" si="2"/>
        <v>374</v>
      </c>
    </row>
    <row r="11" spans="1:17" x14ac:dyDescent="0.95">
      <c r="A11">
        <v>10</v>
      </c>
      <c r="B11" t="s">
        <v>29</v>
      </c>
      <c r="C11" t="s">
        <v>30</v>
      </c>
      <c r="D11">
        <v>156</v>
      </c>
      <c r="E11">
        <v>265</v>
      </c>
      <c r="F11">
        <v>44</v>
      </c>
      <c r="G11">
        <v>11174</v>
      </c>
      <c r="H11">
        <v>205</v>
      </c>
      <c r="I11">
        <v>50.56</v>
      </c>
      <c r="J11">
        <v>27</v>
      </c>
      <c r="K11">
        <v>63</v>
      </c>
      <c r="L11">
        <v>11</v>
      </c>
      <c r="M11" s="2">
        <f t="shared" si="3"/>
        <v>0.16603773584905659</v>
      </c>
      <c r="N11" s="1">
        <f t="shared" si="0"/>
        <v>42.166037735849059</v>
      </c>
      <c r="O11">
        <f t="shared" si="1"/>
        <v>90</v>
      </c>
      <c r="P11" s="2">
        <f t="shared" si="4"/>
        <v>0.3</v>
      </c>
      <c r="Q11">
        <f t="shared" si="2"/>
        <v>205</v>
      </c>
    </row>
    <row r="12" spans="1:17" x14ac:dyDescent="0.95">
      <c r="A12">
        <v>11</v>
      </c>
      <c r="B12" t="s">
        <v>31</v>
      </c>
      <c r="C12" t="s">
        <v>32</v>
      </c>
      <c r="D12">
        <v>168</v>
      </c>
      <c r="E12">
        <v>260</v>
      </c>
      <c r="F12">
        <v>46</v>
      </c>
      <c r="G12">
        <v>10927</v>
      </c>
      <c r="H12">
        <v>200</v>
      </c>
      <c r="I12">
        <v>51.06</v>
      </c>
      <c r="J12">
        <v>32</v>
      </c>
      <c r="K12">
        <v>50</v>
      </c>
      <c r="L12">
        <v>22</v>
      </c>
      <c r="M12" s="2">
        <f t="shared" si="3"/>
        <v>0.17692307692307693</v>
      </c>
      <c r="N12" s="1">
        <f t="shared" si="0"/>
        <v>42.026923076923076</v>
      </c>
      <c r="O12">
        <f t="shared" si="1"/>
        <v>82</v>
      </c>
      <c r="P12" s="2">
        <f t="shared" si="4"/>
        <v>0.3902439024390244</v>
      </c>
      <c r="Q12">
        <f t="shared" si="2"/>
        <v>200</v>
      </c>
    </row>
    <row r="13" spans="1:17" x14ac:dyDescent="0.95">
      <c r="A13">
        <v>12</v>
      </c>
      <c r="B13" t="s">
        <v>33</v>
      </c>
      <c r="C13" t="s">
        <v>34</v>
      </c>
      <c r="D13">
        <v>125</v>
      </c>
      <c r="E13">
        <v>214</v>
      </c>
      <c r="F13">
        <v>16</v>
      </c>
      <c r="G13">
        <v>10122</v>
      </c>
      <c r="H13" t="s">
        <v>35</v>
      </c>
      <c r="I13">
        <v>51.12</v>
      </c>
      <c r="J13">
        <v>34</v>
      </c>
      <c r="K13">
        <v>45</v>
      </c>
      <c r="L13">
        <v>12</v>
      </c>
      <c r="M13" s="2">
        <f t="shared" si="3"/>
        <v>7.476635514018691E-2</v>
      </c>
      <c r="N13" s="1">
        <f t="shared" si="0"/>
        <v>47.299065420560744</v>
      </c>
      <c r="O13">
        <f t="shared" si="1"/>
        <v>79</v>
      </c>
      <c r="P13" s="2">
        <f t="shared" si="4"/>
        <v>0.43037974683544306</v>
      </c>
      <c r="Q13">
        <f t="shared" si="2"/>
        <v>236</v>
      </c>
    </row>
    <row r="14" spans="1:17" x14ac:dyDescent="0.95">
      <c r="A14">
        <v>13</v>
      </c>
      <c r="B14" t="s">
        <v>36</v>
      </c>
      <c r="C14" t="s">
        <v>37</v>
      </c>
      <c r="D14">
        <v>118</v>
      </c>
      <c r="E14">
        <v>213</v>
      </c>
      <c r="F14">
        <v>19</v>
      </c>
      <c r="G14">
        <v>10099</v>
      </c>
      <c r="H14">
        <v>313</v>
      </c>
      <c r="I14">
        <v>52.05</v>
      </c>
      <c r="J14">
        <v>34</v>
      </c>
      <c r="K14">
        <v>33</v>
      </c>
      <c r="L14">
        <v>19</v>
      </c>
      <c r="M14" s="2">
        <f t="shared" si="3"/>
        <v>8.9201877934272297E-2</v>
      </c>
      <c r="N14" s="1">
        <f t="shared" si="0"/>
        <v>47.413145539906104</v>
      </c>
      <c r="O14">
        <f t="shared" si="1"/>
        <v>67</v>
      </c>
      <c r="P14" s="2">
        <f t="shared" si="4"/>
        <v>0.5074626865671642</v>
      </c>
      <c r="Q14">
        <f t="shared" si="2"/>
        <v>313</v>
      </c>
    </row>
    <row r="15" spans="1:17" x14ac:dyDescent="0.95">
      <c r="A15">
        <v>14</v>
      </c>
      <c r="B15" t="s">
        <v>38</v>
      </c>
      <c r="C15" t="s">
        <v>39</v>
      </c>
      <c r="D15" t="s">
        <v>40</v>
      </c>
      <c r="E15">
        <v>202</v>
      </c>
      <c r="F15">
        <v>15</v>
      </c>
      <c r="G15">
        <v>9367</v>
      </c>
      <c r="H15">
        <v>254</v>
      </c>
      <c r="I15">
        <v>50.09</v>
      </c>
      <c r="J15">
        <v>23</v>
      </c>
      <c r="K15">
        <v>51</v>
      </c>
      <c r="L15">
        <v>9</v>
      </c>
      <c r="M15" s="2">
        <f t="shared" si="3"/>
        <v>7.4257425742574254E-2</v>
      </c>
      <c r="N15" s="1">
        <f t="shared" si="0"/>
        <v>46.371287128712872</v>
      </c>
      <c r="O15">
        <f t="shared" si="1"/>
        <v>74</v>
      </c>
      <c r="P15" s="2">
        <f t="shared" si="4"/>
        <v>0.3108108108108108</v>
      </c>
      <c r="Q15">
        <f t="shared" si="2"/>
        <v>254</v>
      </c>
    </row>
    <row r="16" spans="1:17" x14ac:dyDescent="0.95">
      <c r="A16">
        <v>15</v>
      </c>
      <c r="B16" t="s">
        <v>41</v>
      </c>
      <c r="C16" t="s">
        <v>42</v>
      </c>
      <c r="D16">
        <v>124</v>
      </c>
      <c r="E16">
        <v>215</v>
      </c>
      <c r="F16">
        <v>16</v>
      </c>
      <c r="G16">
        <v>9282</v>
      </c>
      <c r="H16" t="s">
        <v>43</v>
      </c>
      <c r="I16">
        <v>46.64</v>
      </c>
      <c r="J16">
        <v>28</v>
      </c>
      <c r="K16">
        <v>41</v>
      </c>
      <c r="L16">
        <v>13</v>
      </c>
      <c r="M16" s="2">
        <f t="shared" si="3"/>
        <v>7.441860465116279E-2</v>
      </c>
      <c r="N16" s="1">
        <f t="shared" si="0"/>
        <v>43.172093023255812</v>
      </c>
      <c r="O16">
        <f t="shared" si="1"/>
        <v>69</v>
      </c>
      <c r="P16" s="2">
        <f t="shared" si="4"/>
        <v>0.40579710144927539</v>
      </c>
      <c r="Q16">
        <f t="shared" si="2"/>
        <v>311</v>
      </c>
    </row>
    <row r="17" spans="1:17" x14ac:dyDescent="0.95">
      <c r="A17">
        <v>16</v>
      </c>
      <c r="B17" t="s">
        <v>44</v>
      </c>
      <c r="C17" t="s">
        <v>45</v>
      </c>
      <c r="D17">
        <v>117</v>
      </c>
      <c r="E17">
        <v>205</v>
      </c>
      <c r="F17">
        <v>13</v>
      </c>
      <c r="G17">
        <v>9265</v>
      </c>
      <c r="H17">
        <v>277</v>
      </c>
      <c r="I17">
        <v>48.25</v>
      </c>
      <c r="J17">
        <v>27</v>
      </c>
      <c r="K17">
        <v>38</v>
      </c>
      <c r="L17">
        <v>11</v>
      </c>
      <c r="M17" s="2">
        <f t="shared" si="3"/>
        <v>6.3414634146341464E-2</v>
      </c>
      <c r="N17" s="1">
        <f t="shared" si="0"/>
        <v>45.195121951219512</v>
      </c>
      <c r="O17">
        <f t="shared" si="1"/>
        <v>65</v>
      </c>
      <c r="P17" s="2">
        <f t="shared" si="4"/>
        <v>0.41538461538461541</v>
      </c>
      <c r="Q17">
        <f t="shared" si="2"/>
        <v>277</v>
      </c>
    </row>
    <row r="18" spans="1:17" x14ac:dyDescent="0.95">
      <c r="A18">
        <v>17</v>
      </c>
      <c r="B18" t="s">
        <v>46</v>
      </c>
      <c r="C18" t="s">
        <v>47</v>
      </c>
      <c r="D18">
        <v>118</v>
      </c>
      <c r="E18">
        <v>215</v>
      </c>
      <c r="F18">
        <v>6</v>
      </c>
      <c r="G18">
        <v>8900</v>
      </c>
      <c r="H18">
        <v>333</v>
      </c>
      <c r="I18">
        <v>42.58</v>
      </c>
      <c r="J18">
        <v>20</v>
      </c>
      <c r="K18">
        <v>46</v>
      </c>
      <c r="L18">
        <v>13</v>
      </c>
      <c r="M18" s="2">
        <f t="shared" si="3"/>
        <v>2.7906976744186046E-2</v>
      </c>
      <c r="N18" s="1">
        <f t="shared" si="0"/>
        <v>41.395348837209305</v>
      </c>
      <c r="O18">
        <f t="shared" si="1"/>
        <v>66</v>
      </c>
      <c r="P18" s="2">
        <f t="shared" si="4"/>
        <v>0.30303030303030304</v>
      </c>
      <c r="Q18">
        <f t="shared" si="2"/>
        <v>333</v>
      </c>
    </row>
    <row r="19" spans="1:17" x14ac:dyDescent="0.95">
      <c r="A19">
        <v>18</v>
      </c>
      <c r="B19" t="s">
        <v>48</v>
      </c>
      <c r="C19" t="s">
        <v>49</v>
      </c>
      <c r="D19">
        <v>124</v>
      </c>
      <c r="E19">
        <v>189</v>
      </c>
      <c r="F19">
        <v>21</v>
      </c>
      <c r="G19">
        <v>8832</v>
      </c>
      <c r="H19" t="s">
        <v>50</v>
      </c>
      <c r="I19">
        <v>52.57</v>
      </c>
      <c r="J19">
        <v>23</v>
      </c>
      <c r="K19">
        <v>43</v>
      </c>
      <c r="L19">
        <v>6</v>
      </c>
      <c r="M19" s="2">
        <f t="shared" si="3"/>
        <v>0.1111111111111111</v>
      </c>
      <c r="N19" s="1">
        <f t="shared" si="0"/>
        <v>46.730158730158728</v>
      </c>
      <c r="O19">
        <f t="shared" si="1"/>
        <v>66</v>
      </c>
      <c r="P19" s="2">
        <f t="shared" si="4"/>
        <v>0.34848484848484851</v>
      </c>
      <c r="Q19">
        <f t="shared" si="2"/>
        <v>280</v>
      </c>
    </row>
    <row r="20" spans="1:17" x14ac:dyDescent="0.95">
      <c r="A20">
        <v>19</v>
      </c>
      <c r="B20" t="s">
        <v>51</v>
      </c>
      <c r="C20" t="s">
        <v>52</v>
      </c>
      <c r="D20">
        <v>120</v>
      </c>
      <c r="E20">
        <v>200</v>
      </c>
      <c r="F20">
        <v>22</v>
      </c>
      <c r="G20">
        <v>8830</v>
      </c>
      <c r="H20">
        <v>329</v>
      </c>
      <c r="I20">
        <v>49.6</v>
      </c>
      <c r="J20">
        <v>25</v>
      </c>
      <c r="K20">
        <v>46</v>
      </c>
      <c r="L20">
        <v>15</v>
      </c>
      <c r="M20" s="2">
        <f t="shared" si="3"/>
        <v>0.11</v>
      </c>
      <c r="N20" s="1">
        <f t="shared" si="0"/>
        <v>44.15</v>
      </c>
      <c r="O20">
        <f t="shared" si="1"/>
        <v>71</v>
      </c>
      <c r="P20" s="2">
        <f t="shared" si="4"/>
        <v>0.352112676056338</v>
      </c>
      <c r="Q20">
        <f t="shared" si="2"/>
        <v>329</v>
      </c>
    </row>
    <row r="21" spans="1:17" x14ac:dyDescent="0.95">
      <c r="A21">
        <v>20</v>
      </c>
      <c r="B21" t="s">
        <v>53</v>
      </c>
      <c r="C21" t="s">
        <v>16</v>
      </c>
      <c r="D21">
        <v>134</v>
      </c>
      <c r="E21">
        <v>225</v>
      </c>
      <c r="F21">
        <v>34</v>
      </c>
      <c r="G21">
        <v>8781</v>
      </c>
      <c r="H21">
        <v>281</v>
      </c>
      <c r="I21">
        <v>45.97</v>
      </c>
      <c r="J21">
        <v>17</v>
      </c>
      <c r="K21">
        <v>56</v>
      </c>
      <c r="L21">
        <v>14</v>
      </c>
      <c r="M21" s="2">
        <f t="shared" si="3"/>
        <v>0.15111111111111111</v>
      </c>
      <c r="N21" s="1">
        <f t="shared" si="0"/>
        <v>39.026666666666664</v>
      </c>
      <c r="O21">
        <f t="shared" si="1"/>
        <v>73</v>
      </c>
      <c r="P21" s="2">
        <f t="shared" si="4"/>
        <v>0.23287671232876711</v>
      </c>
      <c r="Q21">
        <f t="shared" si="2"/>
        <v>281</v>
      </c>
    </row>
    <row r="22" spans="1:17" x14ac:dyDescent="0.95">
      <c r="A22">
        <v>21</v>
      </c>
      <c r="B22" t="s">
        <v>54</v>
      </c>
      <c r="C22" t="s">
        <v>55</v>
      </c>
      <c r="D22">
        <v>114</v>
      </c>
      <c r="E22">
        <v>191</v>
      </c>
      <c r="F22">
        <v>18</v>
      </c>
      <c r="G22">
        <v>8765</v>
      </c>
      <c r="H22" t="s">
        <v>56</v>
      </c>
      <c r="I22">
        <v>50.66</v>
      </c>
      <c r="J22">
        <v>22</v>
      </c>
      <c r="K22">
        <v>46</v>
      </c>
      <c r="L22">
        <v>8</v>
      </c>
      <c r="M22" s="2">
        <f t="shared" si="3"/>
        <v>9.4240837696335081E-2</v>
      </c>
      <c r="N22" s="1">
        <f t="shared" si="0"/>
        <v>45.890052356020945</v>
      </c>
      <c r="O22">
        <f t="shared" si="1"/>
        <v>68</v>
      </c>
      <c r="P22" s="2">
        <f t="shared" si="4"/>
        <v>0.3235294117647059</v>
      </c>
      <c r="Q22">
        <f t="shared" si="2"/>
        <v>278</v>
      </c>
    </row>
    <row r="23" spans="1:17" x14ac:dyDescent="0.95">
      <c r="A23">
        <v>22</v>
      </c>
      <c r="B23" t="s">
        <v>57</v>
      </c>
      <c r="C23" t="s">
        <v>58</v>
      </c>
      <c r="D23">
        <v>115</v>
      </c>
      <c r="E23">
        <v>198</v>
      </c>
      <c r="F23">
        <v>22</v>
      </c>
      <c r="G23">
        <v>8643</v>
      </c>
      <c r="H23" t="s">
        <v>59</v>
      </c>
      <c r="I23">
        <v>49.1</v>
      </c>
      <c r="J23">
        <v>28</v>
      </c>
      <c r="K23">
        <v>27</v>
      </c>
      <c r="L23">
        <v>9</v>
      </c>
      <c r="M23" s="2">
        <f t="shared" si="3"/>
        <v>0.1111111111111111</v>
      </c>
      <c r="N23" s="1">
        <f t="shared" si="0"/>
        <v>43.651515151515149</v>
      </c>
      <c r="O23">
        <f t="shared" si="1"/>
        <v>55</v>
      </c>
      <c r="P23" s="2">
        <f t="shared" si="4"/>
        <v>0.50909090909090904</v>
      </c>
      <c r="Q23">
        <f t="shared" si="2"/>
        <v>329</v>
      </c>
    </row>
    <row r="24" spans="1:17" x14ac:dyDescent="0.95">
      <c r="A24">
        <v>23</v>
      </c>
      <c r="B24" t="s">
        <v>60</v>
      </c>
      <c r="C24" t="s">
        <v>61</v>
      </c>
      <c r="D24">
        <v>103</v>
      </c>
      <c r="E24">
        <v>184</v>
      </c>
      <c r="F24">
        <v>14</v>
      </c>
      <c r="G24">
        <v>8625</v>
      </c>
      <c r="H24">
        <v>380</v>
      </c>
      <c r="I24">
        <v>50.73</v>
      </c>
      <c r="J24">
        <v>30</v>
      </c>
      <c r="K24">
        <v>29</v>
      </c>
      <c r="L24">
        <v>14</v>
      </c>
      <c r="M24" s="2">
        <f t="shared" si="3"/>
        <v>7.6086956521739135E-2</v>
      </c>
      <c r="N24" s="1">
        <f t="shared" si="0"/>
        <v>46.875</v>
      </c>
      <c r="O24">
        <f t="shared" si="1"/>
        <v>59</v>
      </c>
      <c r="P24" s="2">
        <f t="shared" si="4"/>
        <v>0.50847457627118642</v>
      </c>
      <c r="Q24">
        <f t="shared" si="2"/>
        <v>380</v>
      </c>
    </row>
    <row r="25" spans="1:17" x14ac:dyDescent="0.95">
      <c r="A25">
        <v>24</v>
      </c>
      <c r="B25" t="s">
        <v>62</v>
      </c>
      <c r="C25" t="s">
        <v>63</v>
      </c>
      <c r="D25">
        <v>104</v>
      </c>
      <c r="E25">
        <v>180</v>
      </c>
      <c r="F25">
        <v>6</v>
      </c>
      <c r="G25">
        <v>8586</v>
      </c>
      <c r="H25">
        <v>319</v>
      </c>
      <c r="I25">
        <v>49.34</v>
      </c>
      <c r="J25">
        <v>23</v>
      </c>
      <c r="K25">
        <v>32</v>
      </c>
      <c r="L25">
        <v>16</v>
      </c>
      <c r="M25" s="2">
        <f t="shared" si="3"/>
        <v>3.3333333333333333E-2</v>
      </c>
      <c r="N25" s="1">
        <f t="shared" si="0"/>
        <v>47.7</v>
      </c>
      <c r="O25">
        <f t="shared" si="1"/>
        <v>55</v>
      </c>
      <c r="P25" s="2">
        <f t="shared" si="4"/>
        <v>0.41818181818181815</v>
      </c>
      <c r="Q25">
        <f t="shared" si="2"/>
        <v>319</v>
      </c>
    </row>
    <row r="26" spans="1:17" x14ac:dyDescent="0.95">
      <c r="A26">
        <v>25</v>
      </c>
      <c r="B26" t="s">
        <v>64</v>
      </c>
      <c r="C26" t="s">
        <v>65</v>
      </c>
      <c r="D26">
        <v>121</v>
      </c>
      <c r="E26">
        <v>182</v>
      </c>
      <c r="F26">
        <v>12</v>
      </c>
      <c r="G26">
        <v>8540</v>
      </c>
      <c r="H26">
        <v>291</v>
      </c>
      <c r="I26">
        <v>50.23</v>
      </c>
      <c r="J26">
        <v>24</v>
      </c>
      <c r="K26">
        <v>45</v>
      </c>
      <c r="L26">
        <v>10</v>
      </c>
      <c r="M26" s="2">
        <f t="shared" si="3"/>
        <v>6.5934065934065936E-2</v>
      </c>
      <c r="N26" s="1">
        <f t="shared" si="0"/>
        <v>46.92307692307692</v>
      </c>
      <c r="O26">
        <f t="shared" si="1"/>
        <v>69</v>
      </c>
      <c r="P26" s="2">
        <f t="shared" si="4"/>
        <v>0.34782608695652173</v>
      </c>
      <c r="Q26">
        <f t="shared" si="2"/>
        <v>291</v>
      </c>
    </row>
    <row r="27" spans="1:17" x14ac:dyDescent="0.95">
      <c r="A27">
        <v>26</v>
      </c>
      <c r="B27" t="s">
        <v>66</v>
      </c>
      <c r="C27" t="s">
        <v>67</v>
      </c>
      <c r="D27">
        <v>133</v>
      </c>
      <c r="E27">
        <v>235</v>
      </c>
      <c r="F27">
        <v>21</v>
      </c>
      <c r="G27">
        <v>8463</v>
      </c>
      <c r="H27">
        <v>190</v>
      </c>
      <c r="I27">
        <v>39.54</v>
      </c>
      <c r="J27">
        <v>15</v>
      </c>
      <c r="K27">
        <v>45</v>
      </c>
      <c r="L27">
        <v>14</v>
      </c>
      <c r="M27" s="2">
        <f t="shared" si="3"/>
        <v>8.9361702127659579E-2</v>
      </c>
      <c r="N27" s="1">
        <f t="shared" si="0"/>
        <v>36.01276595744681</v>
      </c>
      <c r="O27">
        <f t="shared" si="1"/>
        <v>60</v>
      </c>
      <c r="P27" s="2">
        <f t="shared" si="4"/>
        <v>0.25</v>
      </c>
      <c r="Q27">
        <f t="shared" si="2"/>
        <v>190</v>
      </c>
    </row>
    <row r="28" spans="1:17" x14ac:dyDescent="0.95">
      <c r="A28">
        <v>27</v>
      </c>
      <c r="B28" t="s">
        <v>68</v>
      </c>
      <c r="C28" t="s">
        <v>69</v>
      </c>
      <c r="D28">
        <v>117</v>
      </c>
      <c r="E28">
        <v>204</v>
      </c>
      <c r="F28">
        <v>18</v>
      </c>
      <c r="G28">
        <v>8231</v>
      </c>
      <c r="H28">
        <v>215</v>
      </c>
      <c r="I28">
        <v>44.25</v>
      </c>
      <c r="J28">
        <v>18</v>
      </c>
      <c r="K28">
        <v>39</v>
      </c>
      <c r="L28">
        <v>7</v>
      </c>
      <c r="M28" s="2">
        <f t="shared" si="3"/>
        <v>8.8235294117647065E-2</v>
      </c>
      <c r="N28" s="1">
        <f t="shared" si="0"/>
        <v>40.348039215686278</v>
      </c>
      <c r="O28">
        <f t="shared" si="1"/>
        <v>57</v>
      </c>
      <c r="P28" s="2">
        <f t="shared" si="4"/>
        <v>0.31578947368421051</v>
      </c>
      <c r="Q28">
        <f t="shared" si="2"/>
        <v>215</v>
      </c>
    </row>
    <row r="29" spans="1:17" x14ac:dyDescent="0.95">
      <c r="A29">
        <v>28</v>
      </c>
      <c r="B29" t="s">
        <v>70</v>
      </c>
      <c r="C29" t="s">
        <v>71</v>
      </c>
      <c r="D29">
        <v>104</v>
      </c>
      <c r="E29">
        <v>181</v>
      </c>
      <c r="F29">
        <v>8</v>
      </c>
      <c r="G29">
        <v>8181</v>
      </c>
      <c r="H29">
        <v>227</v>
      </c>
      <c r="I29">
        <v>47.28</v>
      </c>
      <c r="J29">
        <v>23</v>
      </c>
      <c r="K29">
        <v>35</v>
      </c>
      <c r="L29">
        <v>10</v>
      </c>
      <c r="M29" s="2">
        <f t="shared" si="3"/>
        <v>4.4198895027624308E-2</v>
      </c>
      <c r="N29" s="1">
        <f t="shared" si="0"/>
        <v>45.19889502762431</v>
      </c>
      <c r="O29">
        <f t="shared" si="1"/>
        <v>58</v>
      </c>
      <c r="P29" s="2">
        <f t="shared" si="4"/>
        <v>0.39655172413793105</v>
      </c>
      <c r="Q29">
        <f t="shared" si="2"/>
        <v>227</v>
      </c>
    </row>
    <row r="30" spans="1:17" x14ac:dyDescent="0.95">
      <c r="A30">
        <v>29</v>
      </c>
      <c r="B30" t="s">
        <v>72</v>
      </c>
      <c r="C30" t="s">
        <v>73</v>
      </c>
      <c r="D30">
        <v>108</v>
      </c>
      <c r="E30">
        <v>193</v>
      </c>
      <c r="F30">
        <v>23</v>
      </c>
      <c r="G30">
        <v>8114</v>
      </c>
      <c r="H30" t="s">
        <v>74</v>
      </c>
      <c r="I30">
        <v>47.72</v>
      </c>
      <c r="J30">
        <v>22</v>
      </c>
      <c r="K30">
        <v>42</v>
      </c>
      <c r="L30">
        <v>10</v>
      </c>
      <c r="M30" s="2">
        <f t="shared" si="3"/>
        <v>0.11917098445595854</v>
      </c>
      <c r="N30" s="1">
        <f t="shared" si="0"/>
        <v>42.041450777202073</v>
      </c>
      <c r="O30">
        <f t="shared" si="1"/>
        <v>64</v>
      </c>
      <c r="P30" s="2">
        <f t="shared" si="4"/>
        <v>0.34375</v>
      </c>
      <c r="Q30">
        <f t="shared" si="2"/>
        <v>246</v>
      </c>
    </row>
    <row r="31" spans="1:17" x14ac:dyDescent="0.95">
      <c r="A31">
        <v>30</v>
      </c>
      <c r="B31" t="s">
        <v>75</v>
      </c>
      <c r="C31" t="s">
        <v>76</v>
      </c>
      <c r="D31">
        <v>93</v>
      </c>
      <c r="E31">
        <v>160</v>
      </c>
      <c r="F31">
        <v>21</v>
      </c>
      <c r="G31">
        <v>8032</v>
      </c>
      <c r="H31" t="s">
        <v>77</v>
      </c>
      <c r="I31">
        <v>57.78</v>
      </c>
      <c r="J31">
        <v>26</v>
      </c>
      <c r="K31">
        <v>30</v>
      </c>
      <c r="L31">
        <v>12</v>
      </c>
      <c r="M31" s="2">
        <f t="shared" si="3"/>
        <v>0.13125000000000001</v>
      </c>
      <c r="N31" s="1">
        <f t="shared" si="0"/>
        <v>50.2</v>
      </c>
      <c r="O31">
        <f t="shared" si="1"/>
        <v>56</v>
      </c>
      <c r="P31" s="2">
        <f t="shared" si="4"/>
        <v>0.4642857142857143</v>
      </c>
      <c r="Q31">
        <f t="shared" si="2"/>
        <v>365</v>
      </c>
    </row>
    <row r="32" spans="1:17" x14ac:dyDescent="0.95">
      <c r="A32">
        <v>31</v>
      </c>
      <c r="B32" t="s">
        <v>78</v>
      </c>
      <c r="C32" t="s">
        <v>79</v>
      </c>
      <c r="D32">
        <v>128</v>
      </c>
      <c r="E32">
        <v>209</v>
      </c>
      <c r="F32">
        <v>17</v>
      </c>
      <c r="G32">
        <v>8029</v>
      </c>
      <c r="H32" t="s">
        <v>80</v>
      </c>
      <c r="I32">
        <v>41.81</v>
      </c>
      <c r="J32">
        <v>20</v>
      </c>
      <c r="K32">
        <v>47</v>
      </c>
      <c r="L32">
        <v>19</v>
      </c>
      <c r="M32" s="2">
        <f t="shared" si="3"/>
        <v>8.1339712918660281E-2</v>
      </c>
      <c r="N32" s="1">
        <f t="shared" si="0"/>
        <v>38.41626794258373</v>
      </c>
      <c r="O32">
        <f t="shared" si="1"/>
        <v>67</v>
      </c>
      <c r="P32" s="2">
        <f t="shared" si="4"/>
        <v>0.29850746268656714</v>
      </c>
      <c r="Q32">
        <f t="shared" si="2"/>
        <v>153</v>
      </c>
    </row>
    <row r="33" spans="1:17" x14ac:dyDescent="0.95">
      <c r="A33">
        <v>32</v>
      </c>
      <c r="B33" t="s">
        <v>81</v>
      </c>
      <c r="C33" t="s">
        <v>82</v>
      </c>
      <c r="D33">
        <v>97</v>
      </c>
      <c r="E33">
        <v>164</v>
      </c>
      <c r="F33">
        <v>10</v>
      </c>
      <c r="G33">
        <v>7801</v>
      </c>
      <c r="H33" t="s">
        <v>83</v>
      </c>
      <c r="I33">
        <v>50.65</v>
      </c>
      <c r="J33">
        <v>27</v>
      </c>
      <c r="K33">
        <v>27</v>
      </c>
      <c r="L33">
        <v>14</v>
      </c>
      <c r="M33" s="2">
        <f t="shared" si="3"/>
        <v>6.097560975609756E-2</v>
      </c>
      <c r="N33" s="1">
        <f t="shared" si="0"/>
        <v>47.56707317073171</v>
      </c>
      <c r="O33">
        <f t="shared" si="1"/>
        <v>54</v>
      </c>
      <c r="P33" s="2">
        <f t="shared" si="4"/>
        <v>0.5</v>
      </c>
      <c r="Q33">
        <f t="shared" si="2"/>
        <v>254</v>
      </c>
    </row>
    <row r="34" spans="1:17" x14ac:dyDescent="0.95">
      <c r="A34">
        <v>33</v>
      </c>
      <c r="B34" t="s">
        <v>84</v>
      </c>
      <c r="C34" t="s">
        <v>85</v>
      </c>
      <c r="D34">
        <v>115</v>
      </c>
      <c r="E34">
        <v>212</v>
      </c>
      <c r="F34">
        <v>7</v>
      </c>
      <c r="G34">
        <v>7728</v>
      </c>
      <c r="H34" t="s">
        <v>86</v>
      </c>
      <c r="I34">
        <v>37.69</v>
      </c>
      <c r="J34">
        <v>16</v>
      </c>
      <c r="K34">
        <v>46</v>
      </c>
      <c r="L34">
        <v>20</v>
      </c>
      <c r="M34" s="2">
        <f t="shared" si="3"/>
        <v>3.3018867924528301E-2</v>
      </c>
      <c r="N34" s="1">
        <f t="shared" si="0"/>
        <v>36.452830188679243</v>
      </c>
      <c r="O34">
        <f t="shared" ref="O34:O65" si="5">J34+K34</f>
        <v>62</v>
      </c>
      <c r="P34" s="2">
        <f t="shared" si="4"/>
        <v>0.25806451612903225</v>
      </c>
      <c r="Q34">
        <f t="shared" ref="Q34:Q65" si="6">VALUE(SUBSTITUTE(H34,"*",""))</f>
        <v>185</v>
      </c>
    </row>
    <row r="35" spans="1:17" x14ac:dyDescent="0.95">
      <c r="A35">
        <v>34</v>
      </c>
      <c r="B35" t="s">
        <v>87</v>
      </c>
      <c r="C35" t="s">
        <v>58</v>
      </c>
      <c r="D35">
        <v>118</v>
      </c>
      <c r="E35">
        <v>205</v>
      </c>
      <c r="F35">
        <v>24</v>
      </c>
      <c r="G35">
        <v>7727</v>
      </c>
      <c r="H35">
        <v>235</v>
      </c>
      <c r="I35">
        <v>42.69</v>
      </c>
      <c r="J35">
        <v>22</v>
      </c>
      <c r="K35">
        <v>46</v>
      </c>
      <c r="L35">
        <v>14</v>
      </c>
      <c r="M35" s="2">
        <f t="shared" si="3"/>
        <v>0.11707317073170732</v>
      </c>
      <c r="N35" s="1">
        <f t="shared" si="0"/>
        <v>37.692682926829271</v>
      </c>
      <c r="O35">
        <f t="shared" si="5"/>
        <v>68</v>
      </c>
      <c r="P35" s="2">
        <f t="shared" si="4"/>
        <v>0.3235294117647059</v>
      </c>
      <c r="Q35">
        <f t="shared" si="6"/>
        <v>235</v>
      </c>
    </row>
    <row r="36" spans="1:17" x14ac:dyDescent="0.95">
      <c r="A36">
        <v>35</v>
      </c>
      <c r="B36" t="s">
        <v>88</v>
      </c>
      <c r="C36" t="s">
        <v>89</v>
      </c>
      <c r="D36">
        <v>105</v>
      </c>
      <c r="E36">
        <v>182</v>
      </c>
      <c r="F36">
        <v>12</v>
      </c>
      <c r="G36">
        <v>7696</v>
      </c>
      <c r="H36">
        <v>250</v>
      </c>
      <c r="I36">
        <v>45.27</v>
      </c>
      <c r="J36">
        <v>23</v>
      </c>
      <c r="K36">
        <v>30</v>
      </c>
      <c r="L36">
        <v>11</v>
      </c>
      <c r="M36" s="2">
        <f t="shared" si="3"/>
        <v>6.5934065934065936E-2</v>
      </c>
      <c r="N36" s="1">
        <f t="shared" si="0"/>
        <v>42.285714285714285</v>
      </c>
      <c r="O36">
        <f t="shared" si="5"/>
        <v>53</v>
      </c>
      <c r="P36" s="2">
        <f t="shared" si="4"/>
        <v>0.43396226415094341</v>
      </c>
      <c r="Q36">
        <f t="shared" si="6"/>
        <v>250</v>
      </c>
    </row>
    <row r="37" spans="1:17" x14ac:dyDescent="0.95">
      <c r="A37">
        <v>36</v>
      </c>
      <c r="B37" t="s">
        <v>90</v>
      </c>
      <c r="C37" t="s">
        <v>91</v>
      </c>
      <c r="D37" t="s">
        <v>92</v>
      </c>
      <c r="E37">
        <v>141</v>
      </c>
      <c r="F37">
        <v>18</v>
      </c>
      <c r="G37">
        <v>7625</v>
      </c>
      <c r="H37">
        <v>239</v>
      </c>
      <c r="I37">
        <v>61.99</v>
      </c>
      <c r="J37">
        <v>27</v>
      </c>
      <c r="K37">
        <v>32</v>
      </c>
      <c r="L37">
        <v>5</v>
      </c>
      <c r="M37" s="2">
        <f t="shared" si="3"/>
        <v>0.1276595744680851</v>
      </c>
      <c r="N37" s="1">
        <f t="shared" si="0"/>
        <v>54.078014184397162</v>
      </c>
      <c r="O37">
        <f t="shared" si="5"/>
        <v>59</v>
      </c>
      <c r="P37" s="2">
        <f t="shared" si="4"/>
        <v>0.4576271186440678</v>
      </c>
      <c r="Q37">
        <f t="shared" si="6"/>
        <v>239</v>
      </c>
    </row>
    <row r="38" spans="1:17" x14ac:dyDescent="0.95">
      <c r="A38">
        <v>37</v>
      </c>
      <c r="B38" t="s">
        <v>93</v>
      </c>
      <c r="C38" t="s">
        <v>94</v>
      </c>
      <c r="D38">
        <v>114</v>
      </c>
      <c r="E38">
        <v>188</v>
      </c>
      <c r="F38">
        <v>15</v>
      </c>
      <c r="G38">
        <v>7624</v>
      </c>
      <c r="H38">
        <v>182</v>
      </c>
      <c r="I38">
        <v>44.06</v>
      </c>
      <c r="J38">
        <v>22</v>
      </c>
      <c r="K38">
        <v>38</v>
      </c>
      <c r="L38">
        <v>9</v>
      </c>
      <c r="M38" s="2">
        <f t="shared" si="3"/>
        <v>7.9787234042553196E-2</v>
      </c>
      <c r="N38" s="1">
        <f t="shared" si="0"/>
        <v>40.553191489361701</v>
      </c>
      <c r="O38">
        <f t="shared" si="5"/>
        <v>60</v>
      </c>
      <c r="P38" s="2">
        <f t="shared" si="4"/>
        <v>0.36666666666666664</v>
      </c>
      <c r="Q38">
        <f t="shared" si="6"/>
        <v>182</v>
      </c>
    </row>
    <row r="39" spans="1:17" x14ac:dyDescent="0.95">
      <c r="A39">
        <v>38</v>
      </c>
      <c r="B39" t="s">
        <v>95</v>
      </c>
      <c r="C39" t="s">
        <v>96</v>
      </c>
      <c r="D39">
        <v>110</v>
      </c>
      <c r="E39">
        <v>193</v>
      </c>
      <c r="F39">
        <v>24</v>
      </c>
      <c r="G39">
        <v>7584</v>
      </c>
      <c r="H39">
        <v>290</v>
      </c>
      <c r="I39">
        <v>44.87</v>
      </c>
      <c r="J39">
        <v>19</v>
      </c>
      <c r="K39">
        <v>35</v>
      </c>
      <c r="L39">
        <v>14</v>
      </c>
      <c r="M39" s="2">
        <f t="shared" si="3"/>
        <v>0.12435233160621761</v>
      </c>
      <c r="N39" s="1">
        <f t="shared" si="0"/>
        <v>39.295336787564764</v>
      </c>
      <c r="O39">
        <f t="shared" si="5"/>
        <v>54</v>
      </c>
      <c r="P39" s="2">
        <f t="shared" si="4"/>
        <v>0.35185185185185186</v>
      </c>
      <c r="Q39">
        <f t="shared" si="6"/>
        <v>290</v>
      </c>
    </row>
    <row r="40" spans="1:17" x14ac:dyDescent="0.95">
      <c r="A40">
        <v>39</v>
      </c>
      <c r="B40" t="s">
        <v>97</v>
      </c>
      <c r="C40" t="s">
        <v>65</v>
      </c>
      <c r="D40">
        <v>108</v>
      </c>
      <c r="E40">
        <v>185</v>
      </c>
      <c r="F40">
        <v>16</v>
      </c>
      <c r="G40">
        <v>7558</v>
      </c>
      <c r="H40">
        <v>226</v>
      </c>
      <c r="I40">
        <v>44.72</v>
      </c>
      <c r="J40">
        <v>19</v>
      </c>
      <c r="K40">
        <v>34</v>
      </c>
      <c r="L40">
        <v>11</v>
      </c>
      <c r="M40" s="2">
        <f t="shared" si="3"/>
        <v>8.6486486486486491E-2</v>
      </c>
      <c r="N40" s="1">
        <f t="shared" si="0"/>
        <v>40.854054054054053</v>
      </c>
      <c r="O40">
        <f t="shared" si="5"/>
        <v>53</v>
      </c>
      <c r="P40" s="2">
        <f t="shared" si="4"/>
        <v>0.35849056603773582</v>
      </c>
      <c r="Q40">
        <f t="shared" si="6"/>
        <v>226</v>
      </c>
    </row>
    <row r="41" spans="1:17" x14ac:dyDescent="0.95">
      <c r="A41">
        <v>40</v>
      </c>
      <c r="B41" t="s">
        <v>98</v>
      </c>
      <c r="C41" t="s">
        <v>99</v>
      </c>
      <c r="D41">
        <v>90</v>
      </c>
      <c r="E41">
        <v>156</v>
      </c>
      <c r="F41">
        <v>12</v>
      </c>
      <c r="G41">
        <v>7530</v>
      </c>
      <c r="H41">
        <v>223</v>
      </c>
      <c r="I41">
        <v>52.29</v>
      </c>
      <c r="J41">
        <v>24</v>
      </c>
      <c r="K41">
        <v>33</v>
      </c>
      <c r="L41">
        <v>11</v>
      </c>
      <c r="M41" s="2">
        <f t="shared" si="3"/>
        <v>7.6923076923076927E-2</v>
      </c>
      <c r="N41" s="1">
        <f t="shared" si="0"/>
        <v>48.269230769230766</v>
      </c>
      <c r="O41">
        <f t="shared" si="5"/>
        <v>57</v>
      </c>
      <c r="P41" s="2">
        <f t="shared" si="4"/>
        <v>0.42105263157894735</v>
      </c>
      <c r="Q41">
        <f t="shared" si="6"/>
        <v>223</v>
      </c>
    </row>
    <row r="42" spans="1:17" x14ac:dyDescent="0.95">
      <c r="A42">
        <v>41</v>
      </c>
      <c r="B42" t="s">
        <v>100</v>
      </c>
      <c r="C42" t="s">
        <v>101</v>
      </c>
      <c r="D42">
        <v>104</v>
      </c>
      <c r="E42">
        <v>186</v>
      </c>
      <c r="F42">
        <v>13</v>
      </c>
      <c r="G42">
        <v>7525</v>
      </c>
      <c r="H42" t="s">
        <v>102</v>
      </c>
      <c r="I42">
        <v>43.49</v>
      </c>
      <c r="J42">
        <v>19</v>
      </c>
      <c r="K42">
        <v>40</v>
      </c>
      <c r="L42">
        <v>5</v>
      </c>
      <c r="M42" s="2">
        <f t="shared" si="3"/>
        <v>6.9892473118279563E-2</v>
      </c>
      <c r="N42" s="1">
        <f t="shared" si="0"/>
        <v>40.456989247311824</v>
      </c>
      <c r="O42">
        <f t="shared" si="5"/>
        <v>59</v>
      </c>
      <c r="P42" s="2">
        <f t="shared" si="4"/>
        <v>0.32203389830508472</v>
      </c>
      <c r="Q42">
        <f t="shared" si="6"/>
        <v>334</v>
      </c>
    </row>
    <row r="43" spans="1:17" x14ac:dyDescent="0.95">
      <c r="A43">
        <v>42</v>
      </c>
      <c r="B43" t="s">
        <v>103</v>
      </c>
      <c r="C43" t="s">
        <v>104</v>
      </c>
      <c r="D43">
        <v>110</v>
      </c>
      <c r="E43">
        <v>175</v>
      </c>
      <c r="F43">
        <v>14</v>
      </c>
      <c r="G43">
        <v>7515</v>
      </c>
      <c r="H43" t="s">
        <v>105</v>
      </c>
      <c r="I43">
        <v>46.67</v>
      </c>
      <c r="J43">
        <v>19</v>
      </c>
      <c r="K43">
        <v>39</v>
      </c>
      <c r="L43">
        <v>4</v>
      </c>
      <c r="M43" s="2">
        <f t="shared" si="3"/>
        <v>0.08</v>
      </c>
      <c r="N43" s="1">
        <f t="shared" si="0"/>
        <v>42.942857142857143</v>
      </c>
      <c r="O43">
        <f t="shared" si="5"/>
        <v>58</v>
      </c>
      <c r="P43" s="2">
        <f t="shared" si="4"/>
        <v>0.32758620689655171</v>
      </c>
      <c r="Q43">
        <f t="shared" si="6"/>
        <v>242</v>
      </c>
    </row>
    <row r="44" spans="1:17" x14ac:dyDescent="0.95">
      <c r="A44">
        <v>43</v>
      </c>
      <c r="B44" t="s">
        <v>106</v>
      </c>
      <c r="C44" t="s">
        <v>82</v>
      </c>
      <c r="D44" t="s">
        <v>107</v>
      </c>
      <c r="E44">
        <v>161</v>
      </c>
      <c r="F44">
        <v>7</v>
      </c>
      <c r="G44">
        <v>7500</v>
      </c>
      <c r="H44" t="s">
        <v>108</v>
      </c>
      <c r="I44">
        <v>48.7</v>
      </c>
      <c r="J44">
        <v>24</v>
      </c>
      <c r="K44">
        <v>32</v>
      </c>
      <c r="L44">
        <v>9</v>
      </c>
      <c r="M44" s="2">
        <f t="shared" si="3"/>
        <v>4.3478260869565216E-2</v>
      </c>
      <c r="N44" s="1">
        <f t="shared" si="0"/>
        <v>46.58385093167702</v>
      </c>
      <c r="O44">
        <f t="shared" si="5"/>
        <v>56</v>
      </c>
      <c r="P44" s="2">
        <f t="shared" si="4"/>
        <v>0.42857142857142855</v>
      </c>
      <c r="Q44">
        <f t="shared" si="6"/>
        <v>335</v>
      </c>
    </row>
    <row r="45" spans="1:17" x14ac:dyDescent="0.95">
      <c r="A45">
        <v>44</v>
      </c>
      <c r="B45" t="s">
        <v>109</v>
      </c>
      <c r="C45" t="s">
        <v>30</v>
      </c>
      <c r="D45">
        <v>116</v>
      </c>
      <c r="E45">
        <v>202</v>
      </c>
      <c r="F45">
        <v>25</v>
      </c>
      <c r="G45">
        <v>7487</v>
      </c>
      <c r="H45">
        <v>184</v>
      </c>
      <c r="I45">
        <v>42.29</v>
      </c>
      <c r="J45">
        <v>18</v>
      </c>
      <c r="K45">
        <v>39</v>
      </c>
      <c r="L45">
        <v>10</v>
      </c>
      <c r="M45" s="2">
        <f t="shared" si="3"/>
        <v>0.12376237623762376</v>
      </c>
      <c r="N45" s="1">
        <f t="shared" si="0"/>
        <v>37.064356435643568</v>
      </c>
      <c r="O45">
        <f t="shared" si="5"/>
        <v>57</v>
      </c>
      <c r="P45" s="2">
        <f t="shared" si="4"/>
        <v>0.31578947368421051</v>
      </c>
      <c r="Q45">
        <f t="shared" si="6"/>
        <v>184</v>
      </c>
    </row>
    <row r="46" spans="1:17" x14ac:dyDescent="0.95">
      <c r="A46">
        <v>45</v>
      </c>
      <c r="B46" t="s">
        <v>110</v>
      </c>
      <c r="C46" t="s">
        <v>111</v>
      </c>
      <c r="D46">
        <v>107</v>
      </c>
      <c r="E46">
        <v>190</v>
      </c>
      <c r="F46">
        <v>20</v>
      </c>
      <c r="G46">
        <v>7422</v>
      </c>
      <c r="H46">
        <v>200</v>
      </c>
      <c r="I46">
        <v>43.65</v>
      </c>
      <c r="J46">
        <v>21</v>
      </c>
      <c r="K46">
        <v>32</v>
      </c>
      <c r="L46">
        <v>16</v>
      </c>
      <c r="M46" s="2">
        <f t="shared" si="3"/>
        <v>0.10526315789473684</v>
      </c>
      <c r="N46" s="1">
        <f t="shared" si="0"/>
        <v>39.06315789473684</v>
      </c>
      <c r="O46">
        <f t="shared" si="5"/>
        <v>53</v>
      </c>
      <c r="P46" s="2">
        <f t="shared" si="4"/>
        <v>0.39622641509433965</v>
      </c>
      <c r="Q46">
        <f t="shared" si="6"/>
        <v>200</v>
      </c>
    </row>
    <row r="47" spans="1:17" x14ac:dyDescent="0.95">
      <c r="A47">
        <v>46</v>
      </c>
      <c r="B47" t="s">
        <v>112</v>
      </c>
      <c r="C47" t="s">
        <v>113</v>
      </c>
      <c r="D47">
        <v>101</v>
      </c>
      <c r="E47">
        <v>176</v>
      </c>
      <c r="F47">
        <v>15</v>
      </c>
      <c r="G47">
        <v>7289</v>
      </c>
      <c r="H47">
        <v>275</v>
      </c>
      <c r="I47">
        <v>45.27</v>
      </c>
      <c r="J47">
        <v>21</v>
      </c>
      <c r="K47">
        <v>34</v>
      </c>
      <c r="L47">
        <v>13</v>
      </c>
      <c r="M47" s="2">
        <f t="shared" si="3"/>
        <v>8.5227272727272721E-2</v>
      </c>
      <c r="N47" s="1">
        <f t="shared" si="0"/>
        <v>41.414772727272727</v>
      </c>
      <c r="O47">
        <f t="shared" si="5"/>
        <v>55</v>
      </c>
      <c r="P47" s="2">
        <f t="shared" si="4"/>
        <v>0.38181818181818183</v>
      </c>
      <c r="Q47">
        <f t="shared" si="6"/>
        <v>275</v>
      </c>
    </row>
    <row r="48" spans="1:17" x14ac:dyDescent="0.95">
      <c r="A48">
        <v>47</v>
      </c>
      <c r="B48" t="s">
        <v>114</v>
      </c>
      <c r="C48" t="s">
        <v>91</v>
      </c>
      <c r="D48">
        <v>86</v>
      </c>
      <c r="E48">
        <v>150</v>
      </c>
      <c r="F48">
        <v>14</v>
      </c>
      <c r="G48">
        <v>7272</v>
      </c>
      <c r="H48">
        <v>251</v>
      </c>
      <c r="I48">
        <v>53.47</v>
      </c>
      <c r="J48">
        <v>24</v>
      </c>
      <c r="K48">
        <v>33</v>
      </c>
      <c r="L48">
        <v>9</v>
      </c>
      <c r="M48" s="2">
        <f t="shared" si="3"/>
        <v>9.3333333333333338E-2</v>
      </c>
      <c r="N48" s="1">
        <f t="shared" si="0"/>
        <v>48.48</v>
      </c>
      <c r="O48">
        <f t="shared" si="5"/>
        <v>57</v>
      </c>
      <c r="P48" s="2">
        <f t="shared" si="4"/>
        <v>0.42105263157894735</v>
      </c>
      <c r="Q48">
        <f t="shared" si="6"/>
        <v>251</v>
      </c>
    </row>
    <row r="49" spans="1:17" x14ac:dyDescent="0.95">
      <c r="A49">
        <v>48</v>
      </c>
      <c r="B49" t="s">
        <v>115</v>
      </c>
      <c r="C49" t="s">
        <v>116</v>
      </c>
      <c r="D49">
        <v>85</v>
      </c>
      <c r="E49">
        <v>140</v>
      </c>
      <c r="F49">
        <v>16</v>
      </c>
      <c r="G49">
        <v>7249</v>
      </c>
      <c r="H49" t="s">
        <v>117</v>
      </c>
      <c r="I49">
        <v>58.45</v>
      </c>
      <c r="J49">
        <v>22</v>
      </c>
      <c r="K49">
        <v>24</v>
      </c>
      <c r="L49">
        <v>4</v>
      </c>
      <c r="M49" s="2">
        <f t="shared" si="3"/>
        <v>0.11428571428571428</v>
      </c>
      <c r="N49" s="1">
        <f t="shared" si="0"/>
        <v>51.778571428571432</v>
      </c>
      <c r="O49">
        <f t="shared" si="5"/>
        <v>46</v>
      </c>
      <c r="P49" s="2">
        <f t="shared" si="4"/>
        <v>0.47826086956521741</v>
      </c>
      <c r="Q49">
        <f t="shared" si="6"/>
        <v>336</v>
      </c>
    </row>
    <row r="50" spans="1:17" x14ac:dyDescent="0.95">
      <c r="A50">
        <v>49</v>
      </c>
      <c r="B50" t="s">
        <v>118</v>
      </c>
      <c r="C50" t="s">
        <v>119</v>
      </c>
      <c r="D50">
        <v>103</v>
      </c>
      <c r="E50">
        <v>182</v>
      </c>
      <c r="F50">
        <v>11</v>
      </c>
      <c r="G50">
        <v>7214</v>
      </c>
      <c r="H50">
        <v>333</v>
      </c>
      <c r="I50">
        <v>42.18</v>
      </c>
      <c r="J50">
        <v>15</v>
      </c>
      <c r="K50">
        <v>37</v>
      </c>
      <c r="L50">
        <v>15</v>
      </c>
      <c r="M50" s="2">
        <f t="shared" si="3"/>
        <v>6.043956043956044E-2</v>
      </c>
      <c r="N50" s="1">
        <f t="shared" si="0"/>
        <v>39.637362637362635</v>
      </c>
      <c r="O50">
        <f t="shared" si="5"/>
        <v>52</v>
      </c>
      <c r="P50" s="2">
        <f t="shared" si="4"/>
        <v>0.28846153846153844</v>
      </c>
      <c r="Q50">
        <f t="shared" si="6"/>
        <v>333</v>
      </c>
    </row>
    <row r="51" spans="1:17" x14ac:dyDescent="0.95">
      <c r="A51">
        <v>50</v>
      </c>
      <c r="B51" t="s">
        <v>120</v>
      </c>
      <c r="C51" t="s">
        <v>121</v>
      </c>
      <c r="D51">
        <v>113</v>
      </c>
      <c r="E51">
        <v>188</v>
      </c>
      <c r="F51">
        <v>17</v>
      </c>
      <c r="G51">
        <v>7212</v>
      </c>
      <c r="H51">
        <v>239</v>
      </c>
      <c r="I51">
        <v>42.17</v>
      </c>
      <c r="J51">
        <v>16</v>
      </c>
      <c r="K51">
        <v>35</v>
      </c>
      <c r="L51">
        <v>13</v>
      </c>
      <c r="M51" s="2">
        <f t="shared" si="3"/>
        <v>9.0425531914893623E-2</v>
      </c>
      <c r="N51" s="1">
        <f t="shared" si="0"/>
        <v>38.361702127659576</v>
      </c>
      <c r="O51">
        <f t="shared" si="5"/>
        <v>51</v>
      </c>
      <c r="P51" s="2">
        <f t="shared" si="4"/>
        <v>0.31372549019607843</v>
      </c>
      <c r="Q51">
        <f t="shared" si="6"/>
        <v>239</v>
      </c>
    </row>
    <row r="52" spans="1:17" x14ac:dyDescent="0.95">
      <c r="A52">
        <v>51</v>
      </c>
      <c r="B52" t="s">
        <v>122</v>
      </c>
      <c r="C52" t="s">
        <v>123</v>
      </c>
      <c r="D52">
        <v>111</v>
      </c>
      <c r="E52">
        <v>189</v>
      </c>
      <c r="F52">
        <v>10</v>
      </c>
      <c r="G52">
        <v>7172</v>
      </c>
      <c r="H52" t="s">
        <v>124</v>
      </c>
      <c r="I52">
        <v>40.06</v>
      </c>
      <c r="J52">
        <v>9</v>
      </c>
      <c r="K52">
        <v>46</v>
      </c>
      <c r="L52">
        <v>16</v>
      </c>
      <c r="M52" s="2">
        <f t="shared" si="3"/>
        <v>5.2910052910052907E-2</v>
      </c>
      <c r="N52" s="1">
        <f t="shared" si="0"/>
        <v>37.94708994708995</v>
      </c>
      <c r="O52">
        <f t="shared" si="5"/>
        <v>55</v>
      </c>
      <c r="P52" s="2">
        <f t="shared" si="4"/>
        <v>0.16363636363636364</v>
      </c>
      <c r="Q52">
        <f t="shared" si="6"/>
        <v>274</v>
      </c>
    </row>
    <row r="53" spans="1:17" x14ac:dyDescent="0.95">
      <c r="A53">
        <v>52</v>
      </c>
      <c r="B53" t="s">
        <v>125</v>
      </c>
      <c r="C53" t="s">
        <v>126</v>
      </c>
      <c r="D53">
        <v>87</v>
      </c>
      <c r="E53">
        <v>151</v>
      </c>
      <c r="F53">
        <v>19</v>
      </c>
      <c r="G53">
        <v>7110</v>
      </c>
      <c r="H53" t="s">
        <v>127</v>
      </c>
      <c r="I53">
        <v>53.86</v>
      </c>
      <c r="J53">
        <v>24</v>
      </c>
      <c r="K53">
        <v>31</v>
      </c>
      <c r="L53">
        <v>12</v>
      </c>
      <c r="M53" s="2">
        <f t="shared" si="3"/>
        <v>0.12582781456953643</v>
      </c>
      <c r="N53" s="1">
        <f t="shared" si="0"/>
        <v>47.086092715231786</v>
      </c>
      <c r="O53">
        <f t="shared" si="5"/>
        <v>55</v>
      </c>
      <c r="P53" s="2">
        <f t="shared" si="4"/>
        <v>0.43636363636363634</v>
      </c>
      <c r="Q53">
        <f t="shared" si="6"/>
        <v>247</v>
      </c>
    </row>
    <row r="54" spans="1:17" x14ac:dyDescent="0.95">
      <c r="A54">
        <v>53</v>
      </c>
      <c r="B54" t="s">
        <v>128</v>
      </c>
      <c r="C54" t="s">
        <v>129</v>
      </c>
      <c r="D54">
        <v>100</v>
      </c>
      <c r="E54">
        <v>178</v>
      </c>
      <c r="F54">
        <v>6</v>
      </c>
      <c r="G54">
        <v>7037</v>
      </c>
      <c r="H54">
        <v>177</v>
      </c>
      <c r="I54">
        <v>40.909999999999997</v>
      </c>
      <c r="J54">
        <v>21</v>
      </c>
      <c r="K54">
        <v>27</v>
      </c>
      <c r="L54">
        <v>15</v>
      </c>
      <c r="M54" s="2">
        <f t="shared" si="3"/>
        <v>3.3707865168539325E-2</v>
      </c>
      <c r="N54" s="1">
        <f t="shared" si="0"/>
        <v>39.533707865168537</v>
      </c>
      <c r="O54">
        <f t="shared" si="5"/>
        <v>48</v>
      </c>
      <c r="P54" s="2">
        <f t="shared" si="4"/>
        <v>0.4375</v>
      </c>
      <c r="Q54">
        <f t="shared" si="6"/>
        <v>177</v>
      </c>
    </row>
    <row r="55" spans="1:17" x14ac:dyDescent="0.95">
      <c r="A55">
        <v>54</v>
      </c>
      <c r="B55" t="s">
        <v>130</v>
      </c>
      <c r="C55" t="s">
        <v>131</v>
      </c>
      <c r="D55">
        <v>52</v>
      </c>
      <c r="E55">
        <v>80</v>
      </c>
      <c r="F55">
        <v>10</v>
      </c>
      <c r="G55">
        <v>6996</v>
      </c>
      <c r="H55">
        <v>334</v>
      </c>
      <c r="I55">
        <v>99.94</v>
      </c>
      <c r="J55">
        <v>29</v>
      </c>
      <c r="K55">
        <v>13</v>
      </c>
      <c r="L55">
        <v>7</v>
      </c>
      <c r="M55" s="2">
        <f t="shared" si="3"/>
        <v>0.125</v>
      </c>
      <c r="N55" s="1">
        <f t="shared" si="0"/>
        <v>87.45</v>
      </c>
      <c r="O55">
        <f t="shared" si="5"/>
        <v>42</v>
      </c>
      <c r="P55" s="2">
        <f t="shared" si="4"/>
        <v>0.69047619047619047</v>
      </c>
      <c r="Q55">
        <f t="shared" si="6"/>
        <v>334</v>
      </c>
    </row>
    <row r="56" spans="1:17" x14ac:dyDescent="0.95">
      <c r="A56">
        <v>55</v>
      </c>
      <c r="B56" t="s">
        <v>132</v>
      </c>
      <c r="C56" t="s">
        <v>133</v>
      </c>
      <c r="D56">
        <v>110</v>
      </c>
      <c r="E56">
        <v>188</v>
      </c>
      <c r="F56">
        <v>14</v>
      </c>
      <c r="G56">
        <v>6973</v>
      </c>
      <c r="H56">
        <v>340</v>
      </c>
      <c r="I56">
        <v>40.07</v>
      </c>
      <c r="J56">
        <v>14</v>
      </c>
      <c r="K56">
        <v>31</v>
      </c>
      <c r="L56">
        <v>15</v>
      </c>
      <c r="M56" s="2">
        <f t="shared" si="3"/>
        <v>7.4468085106382975E-2</v>
      </c>
      <c r="N56" s="1">
        <f t="shared" si="0"/>
        <v>37.090425531914896</v>
      </c>
      <c r="O56">
        <f t="shared" si="5"/>
        <v>45</v>
      </c>
      <c r="P56" s="2">
        <f t="shared" si="4"/>
        <v>0.31111111111111112</v>
      </c>
      <c r="Q56">
        <f t="shared" si="6"/>
        <v>340</v>
      </c>
    </row>
    <row r="57" spans="1:17" x14ac:dyDescent="0.95">
      <c r="A57">
        <v>56</v>
      </c>
      <c r="B57" t="s">
        <v>134</v>
      </c>
      <c r="C57" t="s">
        <v>135</v>
      </c>
      <c r="D57">
        <v>79</v>
      </c>
      <c r="E57">
        <v>138</v>
      </c>
      <c r="F57">
        <v>15</v>
      </c>
      <c r="G57">
        <v>6971</v>
      </c>
      <c r="H57">
        <v>364</v>
      </c>
      <c r="I57">
        <v>56.67</v>
      </c>
      <c r="J57">
        <v>19</v>
      </c>
      <c r="K57">
        <v>33</v>
      </c>
      <c r="L57">
        <v>5</v>
      </c>
      <c r="M57" s="2">
        <f t="shared" si="3"/>
        <v>0.10869565217391304</v>
      </c>
      <c r="N57" s="1">
        <f t="shared" si="0"/>
        <v>50.514492753623188</v>
      </c>
      <c r="O57">
        <f t="shared" si="5"/>
        <v>52</v>
      </c>
      <c r="P57" s="2">
        <f t="shared" si="4"/>
        <v>0.36538461538461536</v>
      </c>
      <c r="Q57">
        <f t="shared" si="6"/>
        <v>364</v>
      </c>
    </row>
    <row r="58" spans="1:17" x14ac:dyDescent="0.95">
      <c r="A58">
        <v>57</v>
      </c>
      <c r="B58" t="s">
        <v>136</v>
      </c>
      <c r="C58" t="s">
        <v>137</v>
      </c>
      <c r="D58">
        <v>116</v>
      </c>
      <c r="E58">
        <v>185</v>
      </c>
      <c r="F58">
        <v>22</v>
      </c>
      <c r="G58">
        <v>6868</v>
      </c>
      <c r="H58">
        <v>166</v>
      </c>
      <c r="I58">
        <v>42.13</v>
      </c>
      <c r="J58">
        <v>17</v>
      </c>
      <c r="K58">
        <v>35</v>
      </c>
      <c r="L58">
        <v>15</v>
      </c>
      <c r="M58" s="2">
        <f t="shared" si="3"/>
        <v>0.11891891891891893</v>
      </c>
      <c r="N58" s="1">
        <f t="shared" si="0"/>
        <v>37.124324324324327</v>
      </c>
      <c r="O58">
        <f t="shared" si="5"/>
        <v>52</v>
      </c>
      <c r="P58" s="2">
        <f t="shared" si="4"/>
        <v>0.32692307692307693</v>
      </c>
      <c r="Q58">
        <f t="shared" si="6"/>
        <v>166</v>
      </c>
    </row>
    <row r="59" spans="1:17" x14ac:dyDescent="0.95">
      <c r="A59">
        <v>58</v>
      </c>
      <c r="B59" t="s">
        <v>138</v>
      </c>
      <c r="C59" t="s">
        <v>139</v>
      </c>
      <c r="D59">
        <v>82</v>
      </c>
      <c r="E59">
        <v>131</v>
      </c>
      <c r="F59">
        <v>15</v>
      </c>
      <c r="G59">
        <v>6806</v>
      </c>
      <c r="H59">
        <v>256</v>
      </c>
      <c r="I59">
        <v>58.67</v>
      </c>
      <c r="J59">
        <v>20</v>
      </c>
      <c r="K59">
        <v>35</v>
      </c>
      <c r="L59">
        <v>5</v>
      </c>
      <c r="M59" s="2">
        <f t="shared" si="3"/>
        <v>0.11450381679389313</v>
      </c>
      <c r="N59" s="1">
        <f t="shared" si="0"/>
        <v>51.954198473282446</v>
      </c>
      <c r="O59">
        <f t="shared" si="5"/>
        <v>55</v>
      </c>
      <c r="P59" s="2">
        <f t="shared" si="4"/>
        <v>0.36363636363636365</v>
      </c>
      <c r="Q59">
        <f t="shared" si="6"/>
        <v>256</v>
      </c>
    </row>
    <row r="60" spans="1:17" x14ac:dyDescent="0.95">
      <c r="A60">
        <v>59</v>
      </c>
      <c r="B60" t="s">
        <v>140</v>
      </c>
      <c r="C60" t="s">
        <v>141</v>
      </c>
      <c r="D60">
        <v>100</v>
      </c>
      <c r="E60">
        <v>179</v>
      </c>
      <c r="F60">
        <v>28</v>
      </c>
      <c r="G60">
        <v>6744</v>
      </c>
      <c r="H60" t="s">
        <v>142</v>
      </c>
      <c r="I60">
        <v>44.66</v>
      </c>
      <c r="J60">
        <v>16</v>
      </c>
      <c r="K60">
        <v>39</v>
      </c>
      <c r="L60">
        <v>12</v>
      </c>
      <c r="M60" s="2">
        <f t="shared" si="3"/>
        <v>0.15642458100558659</v>
      </c>
      <c r="N60" s="1">
        <f t="shared" si="0"/>
        <v>37.675977653631286</v>
      </c>
      <c r="O60">
        <f t="shared" si="5"/>
        <v>55</v>
      </c>
      <c r="P60" s="2">
        <f t="shared" si="4"/>
        <v>0.29090909090909089</v>
      </c>
      <c r="Q60">
        <f t="shared" si="6"/>
        <v>200</v>
      </c>
    </row>
    <row r="61" spans="1:17" x14ac:dyDescent="0.95">
      <c r="A61">
        <v>60</v>
      </c>
      <c r="B61" t="s">
        <v>143</v>
      </c>
      <c r="C61" t="s">
        <v>91</v>
      </c>
      <c r="D61">
        <v>91</v>
      </c>
      <c r="E61">
        <v>169</v>
      </c>
      <c r="F61">
        <v>11</v>
      </c>
      <c r="G61">
        <v>6721</v>
      </c>
      <c r="H61" t="s">
        <v>144</v>
      </c>
      <c r="I61">
        <v>42.53</v>
      </c>
      <c r="J61">
        <v>18</v>
      </c>
      <c r="K61">
        <v>34</v>
      </c>
      <c r="L61">
        <v>18</v>
      </c>
      <c r="M61" s="2">
        <f t="shared" si="3"/>
        <v>6.5088757396449703E-2</v>
      </c>
      <c r="N61" s="1">
        <f t="shared" si="0"/>
        <v>39.769230769230766</v>
      </c>
      <c r="O61">
        <f t="shared" si="5"/>
        <v>52</v>
      </c>
      <c r="P61" s="2">
        <f t="shared" si="4"/>
        <v>0.34615384615384615</v>
      </c>
      <c r="Q61">
        <f t="shared" si="6"/>
        <v>302</v>
      </c>
    </row>
    <row r="62" spans="1:17" x14ac:dyDescent="0.95">
      <c r="A62">
        <v>61</v>
      </c>
      <c r="B62" t="s">
        <v>145</v>
      </c>
      <c r="C62" t="s">
        <v>91</v>
      </c>
      <c r="D62">
        <v>92</v>
      </c>
      <c r="E62">
        <v>156</v>
      </c>
      <c r="F62">
        <v>9</v>
      </c>
      <c r="G62">
        <v>6589</v>
      </c>
      <c r="H62" t="s">
        <v>146</v>
      </c>
      <c r="I62">
        <v>44.82</v>
      </c>
      <c r="J62">
        <v>18</v>
      </c>
      <c r="K62">
        <v>31</v>
      </c>
      <c r="L62">
        <v>10</v>
      </c>
      <c r="M62" s="2">
        <f t="shared" si="3"/>
        <v>5.7692307692307696E-2</v>
      </c>
      <c r="N62" s="1">
        <f t="shared" si="0"/>
        <v>42.237179487179489</v>
      </c>
      <c r="O62">
        <f t="shared" si="5"/>
        <v>49</v>
      </c>
      <c r="P62" s="2">
        <f t="shared" si="4"/>
        <v>0.36734693877551022</v>
      </c>
      <c r="Q62">
        <f t="shared" si="6"/>
        <v>206</v>
      </c>
    </row>
    <row r="63" spans="1:17" x14ac:dyDescent="0.95">
      <c r="A63">
        <v>62</v>
      </c>
      <c r="B63" t="s">
        <v>147</v>
      </c>
      <c r="C63" t="s">
        <v>148</v>
      </c>
      <c r="D63">
        <v>101</v>
      </c>
      <c r="E63">
        <v>176</v>
      </c>
      <c r="F63">
        <v>9</v>
      </c>
      <c r="G63">
        <v>6453</v>
      </c>
      <c r="H63">
        <v>302</v>
      </c>
      <c r="I63">
        <v>38.64</v>
      </c>
      <c r="J63">
        <v>12</v>
      </c>
      <c r="K63">
        <v>31</v>
      </c>
      <c r="L63">
        <v>14</v>
      </c>
      <c r="M63" s="2">
        <f t="shared" si="3"/>
        <v>5.113636363636364E-2</v>
      </c>
      <c r="N63" s="1">
        <f t="shared" si="0"/>
        <v>36.664772727272727</v>
      </c>
      <c r="O63">
        <f t="shared" si="5"/>
        <v>43</v>
      </c>
      <c r="P63" s="2">
        <f t="shared" si="4"/>
        <v>0.27906976744186046</v>
      </c>
      <c r="Q63">
        <f t="shared" si="6"/>
        <v>302</v>
      </c>
    </row>
    <row r="64" spans="1:17" x14ac:dyDescent="0.95">
      <c r="A64">
        <v>63</v>
      </c>
      <c r="B64" t="s">
        <v>149</v>
      </c>
      <c r="C64" t="s">
        <v>150</v>
      </c>
      <c r="D64">
        <v>93</v>
      </c>
      <c r="E64">
        <v>159</v>
      </c>
      <c r="F64">
        <v>11</v>
      </c>
      <c r="G64">
        <v>6361</v>
      </c>
      <c r="H64">
        <v>267</v>
      </c>
      <c r="I64">
        <v>42.97</v>
      </c>
      <c r="J64">
        <v>20</v>
      </c>
      <c r="K64">
        <v>22</v>
      </c>
      <c r="L64">
        <v>7</v>
      </c>
      <c r="M64" s="2">
        <f t="shared" si="3"/>
        <v>6.9182389937106917E-2</v>
      </c>
      <c r="N64" s="1">
        <f t="shared" si="0"/>
        <v>40.0062893081761</v>
      </c>
      <c r="O64">
        <f t="shared" si="5"/>
        <v>42</v>
      </c>
      <c r="P64" s="2">
        <f t="shared" si="4"/>
        <v>0.47619047619047616</v>
      </c>
      <c r="Q64">
        <f t="shared" si="6"/>
        <v>267</v>
      </c>
    </row>
    <row r="65" spans="1:17" x14ac:dyDescent="0.95">
      <c r="A65">
        <v>64</v>
      </c>
      <c r="B65" t="s">
        <v>151</v>
      </c>
      <c r="C65" t="s">
        <v>152</v>
      </c>
      <c r="D65">
        <v>92</v>
      </c>
      <c r="E65">
        <v>165</v>
      </c>
      <c r="F65">
        <v>23</v>
      </c>
      <c r="G65">
        <v>6338</v>
      </c>
      <c r="H65" t="s">
        <v>142</v>
      </c>
      <c r="I65">
        <v>44.63</v>
      </c>
      <c r="J65">
        <v>11</v>
      </c>
      <c r="K65">
        <v>37</v>
      </c>
      <c r="L65">
        <v>2</v>
      </c>
      <c r="M65" s="2">
        <f t="shared" si="3"/>
        <v>0.1393939393939394</v>
      </c>
      <c r="N65" s="1">
        <f t="shared" si="0"/>
        <v>38.412121212121214</v>
      </c>
      <c r="O65">
        <f t="shared" si="5"/>
        <v>48</v>
      </c>
      <c r="P65" s="2">
        <f t="shared" si="4"/>
        <v>0.22916666666666666</v>
      </c>
      <c r="Q65">
        <f t="shared" si="6"/>
        <v>200</v>
      </c>
    </row>
    <row r="66" spans="1:17" x14ac:dyDescent="0.95">
      <c r="A66">
        <v>65</v>
      </c>
      <c r="B66" t="s">
        <v>153</v>
      </c>
      <c r="C66" t="s">
        <v>154</v>
      </c>
      <c r="D66">
        <v>79</v>
      </c>
      <c r="E66">
        <v>137</v>
      </c>
      <c r="F66">
        <v>16</v>
      </c>
      <c r="G66">
        <v>6235</v>
      </c>
      <c r="H66">
        <v>195</v>
      </c>
      <c r="I66">
        <v>51.52</v>
      </c>
      <c r="J66">
        <v>19</v>
      </c>
      <c r="K66">
        <v>29</v>
      </c>
      <c r="L66">
        <v>12</v>
      </c>
      <c r="M66" s="2">
        <f t="shared" si="3"/>
        <v>0.11678832116788321</v>
      </c>
      <c r="N66" s="1">
        <f t="shared" ref="N66:N98" si="7">IF(E66=0,0,G66/E66)</f>
        <v>45.510948905109487</v>
      </c>
      <c r="O66">
        <f t="shared" ref="O66:O98" si="8">J66+K66</f>
        <v>48</v>
      </c>
      <c r="P66" s="2">
        <f t="shared" si="4"/>
        <v>0.39583333333333331</v>
      </c>
      <c r="Q66">
        <f t="shared" ref="Q66:Q98" si="9">VALUE(SUBSTITUTE(H66,"*",""))</f>
        <v>195</v>
      </c>
    </row>
    <row r="67" spans="1:17" x14ac:dyDescent="0.95">
      <c r="A67">
        <v>66</v>
      </c>
      <c r="B67" t="s">
        <v>155</v>
      </c>
      <c r="C67" t="s">
        <v>156</v>
      </c>
      <c r="D67">
        <v>79</v>
      </c>
      <c r="E67">
        <v>137</v>
      </c>
      <c r="F67">
        <v>6</v>
      </c>
      <c r="G67">
        <v>6227</v>
      </c>
      <c r="H67">
        <v>256</v>
      </c>
      <c r="I67">
        <v>47.53</v>
      </c>
      <c r="J67">
        <v>15</v>
      </c>
      <c r="K67">
        <v>28</v>
      </c>
      <c r="L67">
        <v>7</v>
      </c>
      <c r="M67" s="2">
        <f t="shared" ref="M67:M98" si="10">IF(E67=0,0,F67/E67)</f>
        <v>4.3795620437956206E-2</v>
      </c>
      <c r="N67" s="1">
        <f t="shared" si="7"/>
        <v>45.45255474452555</v>
      </c>
      <c r="O67">
        <f t="shared" si="8"/>
        <v>43</v>
      </c>
      <c r="P67" s="2">
        <f t="shared" ref="P67:P98" si="11">IF(O67=0,0,J67/O67)</f>
        <v>0.34883720930232559</v>
      </c>
      <c r="Q67">
        <f t="shared" si="9"/>
        <v>256</v>
      </c>
    </row>
    <row r="68" spans="1:17" x14ac:dyDescent="0.95">
      <c r="A68">
        <v>67</v>
      </c>
      <c r="B68" t="s">
        <v>157</v>
      </c>
      <c r="C68" t="s">
        <v>158</v>
      </c>
      <c r="D68">
        <v>99</v>
      </c>
      <c r="E68">
        <v>147</v>
      </c>
      <c r="F68">
        <v>9</v>
      </c>
      <c r="G68">
        <v>6215</v>
      </c>
      <c r="H68">
        <v>199</v>
      </c>
      <c r="I68">
        <v>45.03</v>
      </c>
      <c r="J68">
        <v>22</v>
      </c>
      <c r="K68">
        <v>21</v>
      </c>
      <c r="L68">
        <v>5</v>
      </c>
      <c r="M68" s="2">
        <f t="shared" si="10"/>
        <v>6.1224489795918366E-2</v>
      </c>
      <c r="N68" s="1">
        <f t="shared" si="7"/>
        <v>42.278911564625851</v>
      </c>
      <c r="O68">
        <f t="shared" si="8"/>
        <v>43</v>
      </c>
      <c r="P68" s="2">
        <f t="shared" si="11"/>
        <v>0.51162790697674421</v>
      </c>
      <c r="Q68">
        <f t="shared" si="9"/>
        <v>199</v>
      </c>
    </row>
    <row r="69" spans="1:17" x14ac:dyDescent="0.95">
      <c r="A69">
        <v>68</v>
      </c>
      <c r="B69" t="s">
        <v>159</v>
      </c>
      <c r="C69" t="s">
        <v>121</v>
      </c>
      <c r="D69">
        <v>90</v>
      </c>
      <c r="E69">
        <v>154</v>
      </c>
      <c r="F69">
        <v>7</v>
      </c>
      <c r="G69">
        <v>6167</v>
      </c>
      <c r="H69">
        <v>228</v>
      </c>
      <c r="I69">
        <v>41.95</v>
      </c>
      <c r="J69">
        <v>14</v>
      </c>
      <c r="K69">
        <v>26</v>
      </c>
      <c r="L69">
        <v>11</v>
      </c>
      <c r="M69" s="2">
        <f t="shared" si="10"/>
        <v>4.5454545454545456E-2</v>
      </c>
      <c r="N69" s="1">
        <f t="shared" si="7"/>
        <v>40.045454545454547</v>
      </c>
      <c r="O69">
        <f t="shared" si="8"/>
        <v>40</v>
      </c>
      <c r="P69" s="2">
        <f t="shared" si="11"/>
        <v>0.35</v>
      </c>
      <c r="Q69">
        <f t="shared" si="9"/>
        <v>228</v>
      </c>
    </row>
    <row r="70" spans="1:17" x14ac:dyDescent="0.95">
      <c r="A70">
        <v>69</v>
      </c>
      <c r="B70" t="s">
        <v>160</v>
      </c>
      <c r="C70" t="s">
        <v>161</v>
      </c>
      <c r="D70">
        <v>79</v>
      </c>
      <c r="E70">
        <v>137</v>
      </c>
      <c r="F70">
        <v>10</v>
      </c>
      <c r="G70">
        <v>6149</v>
      </c>
      <c r="H70">
        <v>205</v>
      </c>
      <c r="I70">
        <v>48.41</v>
      </c>
      <c r="J70">
        <v>21</v>
      </c>
      <c r="K70">
        <v>24</v>
      </c>
      <c r="L70">
        <v>7</v>
      </c>
      <c r="M70" s="2">
        <f t="shared" si="10"/>
        <v>7.2992700729927001E-2</v>
      </c>
      <c r="N70" s="1">
        <f t="shared" si="7"/>
        <v>44.883211678832119</v>
      </c>
      <c r="O70">
        <f t="shared" si="8"/>
        <v>45</v>
      </c>
      <c r="P70" s="2">
        <f t="shared" si="11"/>
        <v>0.46666666666666667</v>
      </c>
      <c r="Q70">
        <f t="shared" si="9"/>
        <v>205</v>
      </c>
    </row>
    <row r="71" spans="1:17" x14ac:dyDescent="0.95">
      <c r="A71">
        <v>70</v>
      </c>
      <c r="B71" t="s">
        <v>162</v>
      </c>
      <c r="C71" t="s">
        <v>163</v>
      </c>
      <c r="D71">
        <v>91</v>
      </c>
      <c r="E71">
        <v>155</v>
      </c>
      <c r="F71">
        <v>10</v>
      </c>
      <c r="G71">
        <v>6080</v>
      </c>
      <c r="H71">
        <v>222</v>
      </c>
      <c r="I71">
        <v>41.93</v>
      </c>
      <c r="J71">
        <v>14</v>
      </c>
      <c r="K71">
        <v>35</v>
      </c>
      <c r="L71">
        <v>10</v>
      </c>
      <c r="M71" s="2">
        <f t="shared" si="10"/>
        <v>6.4516129032258063E-2</v>
      </c>
      <c r="N71" s="1">
        <f t="shared" si="7"/>
        <v>39.225806451612904</v>
      </c>
      <c r="O71">
        <f t="shared" si="8"/>
        <v>49</v>
      </c>
      <c r="P71" s="2">
        <f t="shared" si="11"/>
        <v>0.2857142857142857</v>
      </c>
      <c r="Q71">
        <f t="shared" si="9"/>
        <v>222</v>
      </c>
    </row>
    <row r="72" spans="1:17" x14ac:dyDescent="0.95">
      <c r="A72">
        <v>71</v>
      </c>
      <c r="B72" t="s">
        <v>164</v>
      </c>
      <c r="C72" t="s">
        <v>165</v>
      </c>
      <c r="D72">
        <v>86</v>
      </c>
      <c r="E72">
        <v>146</v>
      </c>
      <c r="F72">
        <v>12</v>
      </c>
      <c r="G72">
        <v>5949</v>
      </c>
      <c r="H72">
        <v>194</v>
      </c>
      <c r="I72">
        <v>44.39</v>
      </c>
      <c r="J72">
        <v>16</v>
      </c>
      <c r="K72">
        <v>27</v>
      </c>
      <c r="L72">
        <v>8</v>
      </c>
      <c r="M72" s="2">
        <f t="shared" si="10"/>
        <v>8.2191780821917804E-2</v>
      </c>
      <c r="N72" s="1">
        <f t="shared" si="7"/>
        <v>40.746575342465754</v>
      </c>
      <c r="O72">
        <f t="shared" si="8"/>
        <v>43</v>
      </c>
      <c r="P72" s="2">
        <f t="shared" si="11"/>
        <v>0.37209302325581395</v>
      </c>
      <c r="Q72">
        <f t="shared" si="9"/>
        <v>194</v>
      </c>
    </row>
    <row r="73" spans="1:17" x14ac:dyDescent="0.95">
      <c r="A73">
        <v>72</v>
      </c>
      <c r="B73" t="s">
        <v>166</v>
      </c>
      <c r="C73" t="s">
        <v>167</v>
      </c>
      <c r="D73">
        <v>87</v>
      </c>
      <c r="E73">
        <v>154</v>
      </c>
      <c r="F73">
        <v>8</v>
      </c>
      <c r="G73">
        <v>5842</v>
      </c>
      <c r="H73">
        <v>291</v>
      </c>
      <c r="I73">
        <v>40.01</v>
      </c>
      <c r="J73">
        <v>15</v>
      </c>
      <c r="K73">
        <v>31</v>
      </c>
      <c r="L73">
        <v>12</v>
      </c>
      <c r="M73" s="2">
        <f t="shared" si="10"/>
        <v>5.1948051948051951E-2</v>
      </c>
      <c r="N73" s="1">
        <f t="shared" si="7"/>
        <v>37.935064935064936</v>
      </c>
      <c r="O73">
        <f t="shared" si="8"/>
        <v>46</v>
      </c>
      <c r="P73" s="2">
        <f t="shared" si="11"/>
        <v>0.32608695652173914</v>
      </c>
      <c r="Q73">
        <f t="shared" si="9"/>
        <v>291</v>
      </c>
    </row>
    <row r="74" spans="1:17" x14ac:dyDescent="0.95">
      <c r="A74">
        <v>73</v>
      </c>
      <c r="B74" t="s">
        <v>168</v>
      </c>
      <c r="C74" t="s">
        <v>169</v>
      </c>
      <c r="D74">
        <v>76</v>
      </c>
      <c r="E74">
        <v>143</v>
      </c>
      <c r="F74">
        <v>10</v>
      </c>
      <c r="G74">
        <v>5825</v>
      </c>
      <c r="H74">
        <v>219</v>
      </c>
      <c r="I74">
        <v>43.79</v>
      </c>
      <c r="J74">
        <v>14</v>
      </c>
      <c r="K74">
        <v>29</v>
      </c>
      <c r="L74">
        <v>12</v>
      </c>
      <c r="M74" s="2">
        <f t="shared" si="10"/>
        <v>6.9930069930069935E-2</v>
      </c>
      <c r="N74" s="1">
        <f t="shared" si="7"/>
        <v>40.734265734265733</v>
      </c>
      <c r="O74">
        <f t="shared" si="8"/>
        <v>43</v>
      </c>
      <c r="P74" s="2">
        <f t="shared" si="11"/>
        <v>0.32558139534883723</v>
      </c>
      <c r="Q74">
        <f t="shared" si="9"/>
        <v>219</v>
      </c>
    </row>
    <row r="75" spans="1:17" x14ac:dyDescent="0.95">
      <c r="A75">
        <v>74</v>
      </c>
      <c r="B75" t="s">
        <v>170</v>
      </c>
      <c r="C75" t="s">
        <v>171</v>
      </c>
      <c r="D75">
        <v>78</v>
      </c>
      <c r="E75">
        <v>131</v>
      </c>
      <c r="F75">
        <v>15</v>
      </c>
      <c r="G75">
        <v>5807</v>
      </c>
      <c r="H75">
        <v>278</v>
      </c>
      <c r="I75">
        <v>50.06</v>
      </c>
      <c r="J75">
        <v>17</v>
      </c>
      <c r="K75">
        <v>28</v>
      </c>
      <c r="L75">
        <v>10</v>
      </c>
      <c r="M75" s="2">
        <f t="shared" si="10"/>
        <v>0.11450381679389313</v>
      </c>
      <c r="N75" s="1">
        <f t="shared" si="7"/>
        <v>44.328244274809158</v>
      </c>
      <c r="O75">
        <f t="shared" si="8"/>
        <v>45</v>
      </c>
      <c r="P75" s="2">
        <f t="shared" si="11"/>
        <v>0.37777777777777777</v>
      </c>
      <c r="Q75">
        <f t="shared" si="9"/>
        <v>278</v>
      </c>
    </row>
    <row r="76" spans="1:17" x14ac:dyDescent="0.95">
      <c r="A76">
        <v>75</v>
      </c>
      <c r="B76" t="s">
        <v>172</v>
      </c>
      <c r="C76" t="s">
        <v>173</v>
      </c>
      <c r="D76">
        <v>103</v>
      </c>
      <c r="E76">
        <v>154</v>
      </c>
      <c r="F76">
        <v>22</v>
      </c>
      <c r="G76">
        <v>5768</v>
      </c>
      <c r="H76">
        <v>237</v>
      </c>
      <c r="I76">
        <v>43.69</v>
      </c>
      <c r="J76">
        <v>15</v>
      </c>
      <c r="K76">
        <v>29</v>
      </c>
      <c r="L76">
        <v>12</v>
      </c>
      <c r="M76" s="2">
        <f t="shared" si="10"/>
        <v>0.14285714285714285</v>
      </c>
      <c r="N76" s="1">
        <f t="shared" si="7"/>
        <v>37.454545454545453</v>
      </c>
      <c r="O76">
        <f t="shared" si="8"/>
        <v>44</v>
      </c>
      <c r="P76" s="2">
        <f t="shared" si="11"/>
        <v>0.34090909090909088</v>
      </c>
      <c r="Q76">
        <f t="shared" si="9"/>
        <v>237</v>
      </c>
    </row>
    <row r="77" spans="1:17" x14ac:dyDescent="0.95">
      <c r="A77">
        <v>76</v>
      </c>
      <c r="B77" t="s">
        <v>174</v>
      </c>
      <c r="C77" t="s">
        <v>175</v>
      </c>
      <c r="D77">
        <v>96</v>
      </c>
      <c r="E77">
        <v>171</v>
      </c>
      <c r="F77">
        <v>16</v>
      </c>
      <c r="G77">
        <v>5764</v>
      </c>
      <c r="H77">
        <v>207</v>
      </c>
      <c r="I77">
        <v>37.18</v>
      </c>
      <c r="J77">
        <v>14</v>
      </c>
      <c r="K77">
        <v>33</v>
      </c>
      <c r="L77">
        <v>14</v>
      </c>
      <c r="M77" s="2">
        <f t="shared" si="10"/>
        <v>9.3567251461988299E-2</v>
      </c>
      <c r="N77" s="1">
        <f t="shared" si="7"/>
        <v>33.707602339181285</v>
      </c>
      <c r="O77">
        <f t="shared" si="8"/>
        <v>47</v>
      </c>
      <c r="P77" s="2">
        <f t="shared" si="11"/>
        <v>0.2978723404255319</v>
      </c>
      <c r="Q77">
        <f t="shared" si="9"/>
        <v>207</v>
      </c>
    </row>
    <row r="78" spans="1:17" x14ac:dyDescent="0.95">
      <c r="A78">
        <v>77</v>
      </c>
      <c r="B78" t="s">
        <v>176</v>
      </c>
      <c r="C78" t="s">
        <v>177</v>
      </c>
      <c r="D78">
        <v>102</v>
      </c>
      <c r="E78">
        <v>173</v>
      </c>
      <c r="F78">
        <v>15</v>
      </c>
      <c r="G78">
        <v>5762</v>
      </c>
      <c r="H78">
        <v>233</v>
      </c>
      <c r="I78">
        <v>36.46</v>
      </c>
      <c r="J78">
        <v>13</v>
      </c>
      <c r="K78">
        <v>27</v>
      </c>
      <c r="L78">
        <v>13</v>
      </c>
      <c r="M78" s="2">
        <f t="shared" si="10"/>
        <v>8.6705202312138727E-2</v>
      </c>
      <c r="N78" s="1">
        <f t="shared" si="7"/>
        <v>33.306358381502889</v>
      </c>
      <c r="O78">
        <f t="shared" si="8"/>
        <v>40</v>
      </c>
      <c r="P78" s="2">
        <f t="shared" si="11"/>
        <v>0.32500000000000001</v>
      </c>
      <c r="Q78">
        <f t="shared" si="9"/>
        <v>233</v>
      </c>
    </row>
    <row r="79" spans="1:17" x14ac:dyDescent="0.95">
      <c r="A79">
        <v>78</v>
      </c>
      <c r="B79" t="s">
        <v>178</v>
      </c>
      <c r="C79" t="s">
        <v>179</v>
      </c>
      <c r="D79">
        <v>82</v>
      </c>
      <c r="E79">
        <v>147</v>
      </c>
      <c r="F79">
        <v>9</v>
      </c>
      <c r="G79">
        <v>5719</v>
      </c>
      <c r="H79">
        <v>197</v>
      </c>
      <c r="I79">
        <v>41.44</v>
      </c>
      <c r="J79">
        <v>18</v>
      </c>
      <c r="K79">
        <v>18</v>
      </c>
      <c r="L79">
        <v>9</v>
      </c>
      <c r="M79" s="2">
        <f t="shared" si="10"/>
        <v>6.1224489795918366E-2</v>
      </c>
      <c r="N79" s="1">
        <f t="shared" si="7"/>
        <v>38.904761904761905</v>
      </c>
      <c r="O79">
        <f t="shared" si="8"/>
        <v>36</v>
      </c>
      <c r="P79" s="2">
        <f t="shared" si="11"/>
        <v>0.5</v>
      </c>
      <c r="Q79">
        <f t="shared" si="9"/>
        <v>197</v>
      </c>
    </row>
    <row r="80" spans="1:17" x14ac:dyDescent="0.95">
      <c r="A80">
        <v>79</v>
      </c>
      <c r="B80" t="s">
        <v>180</v>
      </c>
      <c r="C80" t="s">
        <v>179</v>
      </c>
      <c r="D80">
        <v>96</v>
      </c>
      <c r="E80">
        <v>137</v>
      </c>
      <c r="F80">
        <v>20</v>
      </c>
      <c r="G80">
        <v>5570</v>
      </c>
      <c r="H80" t="s">
        <v>181</v>
      </c>
      <c r="I80">
        <v>47.6</v>
      </c>
      <c r="J80">
        <v>17</v>
      </c>
      <c r="K80">
        <v>26</v>
      </c>
      <c r="L80">
        <v>14</v>
      </c>
      <c r="M80" s="2">
        <f t="shared" si="10"/>
        <v>0.145985401459854</v>
      </c>
      <c r="N80" s="1">
        <f t="shared" si="7"/>
        <v>40.65693430656934</v>
      </c>
      <c r="O80">
        <f t="shared" si="8"/>
        <v>43</v>
      </c>
      <c r="P80" s="2">
        <f t="shared" si="11"/>
        <v>0.39534883720930231</v>
      </c>
      <c r="Q80">
        <f t="shared" si="9"/>
        <v>204</v>
      </c>
    </row>
    <row r="81" spans="1:17" x14ac:dyDescent="0.95">
      <c r="A81">
        <v>80</v>
      </c>
      <c r="B81" t="s">
        <v>182</v>
      </c>
      <c r="C81" t="s">
        <v>183</v>
      </c>
      <c r="D81">
        <v>147</v>
      </c>
      <c r="E81">
        <v>206</v>
      </c>
      <c r="F81">
        <v>24</v>
      </c>
      <c r="G81">
        <v>5515</v>
      </c>
      <c r="H81">
        <v>125</v>
      </c>
      <c r="I81">
        <v>30.3</v>
      </c>
      <c r="J81">
        <v>5</v>
      </c>
      <c r="K81">
        <v>35</v>
      </c>
      <c r="L81">
        <v>17</v>
      </c>
      <c r="M81" s="2">
        <f t="shared" si="10"/>
        <v>0.11650485436893204</v>
      </c>
      <c r="N81" s="1">
        <f t="shared" si="7"/>
        <v>26.771844660194176</v>
      </c>
      <c r="O81">
        <f t="shared" si="8"/>
        <v>40</v>
      </c>
      <c r="P81" s="2">
        <f t="shared" si="11"/>
        <v>0.125</v>
      </c>
      <c r="Q81">
        <f t="shared" si="9"/>
        <v>125</v>
      </c>
    </row>
    <row r="82" spans="1:17" x14ac:dyDescent="0.95">
      <c r="A82">
        <v>81</v>
      </c>
      <c r="B82" t="s">
        <v>184</v>
      </c>
      <c r="C82" t="s">
        <v>185</v>
      </c>
      <c r="D82">
        <v>90</v>
      </c>
      <c r="E82">
        <v>156</v>
      </c>
      <c r="F82">
        <v>15</v>
      </c>
      <c r="G82">
        <v>5502</v>
      </c>
      <c r="H82">
        <v>249</v>
      </c>
      <c r="I82">
        <v>39.020000000000003</v>
      </c>
      <c r="J82">
        <v>16</v>
      </c>
      <c r="K82">
        <v>17</v>
      </c>
      <c r="L82">
        <v>22</v>
      </c>
      <c r="M82" s="2">
        <f t="shared" si="10"/>
        <v>9.6153846153846159E-2</v>
      </c>
      <c r="N82" s="1">
        <f t="shared" si="7"/>
        <v>35.269230769230766</v>
      </c>
      <c r="O82">
        <f t="shared" si="8"/>
        <v>33</v>
      </c>
      <c r="P82" s="2">
        <f t="shared" si="11"/>
        <v>0.48484848484848486</v>
      </c>
      <c r="Q82">
        <f t="shared" si="9"/>
        <v>249</v>
      </c>
    </row>
    <row r="83" spans="1:17" x14ac:dyDescent="0.95">
      <c r="A83">
        <v>82</v>
      </c>
      <c r="B83" t="s">
        <v>186</v>
      </c>
      <c r="C83" t="s">
        <v>187</v>
      </c>
      <c r="D83">
        <v>87</v>
      </c>
      <c r="E83">
        <v>145</v>
      </c>
      <c r="F83">
        <v>11</v>
      </c>
      <c r="G83">
        <v>5492</v>
      </c>
      <c r="H83">
        <v>193</v>
      </c>
      <c r="I83">
        <v>40.98</v>
      </c>
      <c r="J83">
        <v>16</v>
      </c>
      <c r="K83">
        <v>23</v>
      </c>
      <c r="L83">
        <v>14</v>
      </c>
      <c r="M83" s="2">
        <f t="shared" si="10"/>
        <v>7.586206896551724E-2</v>
      </c>
      <c r="N83" s="1">
        <f t="shared" si="7"/>
        <v>37.875862068965517</v>
      </c>
      <c r="O83">
        <f t="shared" si="8"/>
        <v>39</v>
      </c>
      <c r="P83" s="2">
        <f t="shared" si="11"/>
        <v>0.41025641025641024</v>
      </c>
      <c r="Q83">
        <f t="shared" si="9"/>
        <v>193</v>
      </c>
    </row>
    <row r="84" spans="1:17" x14ac:dyDescent="0.95">
      <c r="A84">
        <v>83</v>
      </c>
      <c r="B84" t="s">
        <v>188</v>
      </c>
      <c r="C84" t="s">
        <v>63</v>
      </c>
      <c r="D84">
        <v>81</v>
      </c>
      <c r="E84">
        <v>132</v>
      </c>
      <c r="F84">
        <v>20</v>
      </c>
      <c r="G84">
        <v>5462</v>
      </c>
      <c r="H84">
        <v>231</v>
      </c>
      <c r="I84">
        <v>48.76</v>
      </c>
      <c r="J84">
        <v>14</v>
      </c>
      <c r="K84">
        <v>30</v>
      </c>
      <c r="L84">
        <v>11</v>
      </c>
      <c r="M84" s="2">
        <f t="shared" si="10"/>
        <v>0.15151515151515152</v>
      </c>
      <c r="N84" s="1">
        <f t="shared" si="7"/>
        <v>41.378787878787875</v>
      </c>
      <c r="O84">
        <f t="shared" si="8"/>
        <v>44</v>
      </c>
      <c r="P84" s="2">
        <f t="shared" si="11"/>
        <v>0.31818181818181818</v>
      </c>
      <c r="Q84">
        <f t="shared" si="9"/>
        <v>231</v>
      </c>
    </row>
    <row r="85" spans="1:17" x14ac:dyDescent="0.95">
      <c r="A85">
        <v>84</v>
      </c>
      <c r="B85" t="s">
        <v>189</v>
      </c>
      <c r="C85" t="s">
        <v>39</v>
      </c>
      <c r="D85">
        <v>74</v>
      </c>
      <c r="E85">
        <v>143</v>
      </c>
      <c r="F85">
        <v>5</v>
      </c>
      <c r="G85">
        <v>5454</v>
      </c>
      <c r="H85">
        <v>244</v>
      </c>
      <c r="I85">
        <v>39.520000000000003</v>
      </c>
      <c r="J85">
        <v>13</v>
      </c>
      <c r="K85">
        <v>27</v>
      </c>
      <c r="L85">
        <v>12</v>
      </c>
      <c r="M85" s="2">
        <f t="shared" si="10"/>
        <v>3.4965034965034968E-2</v>
      </c>
      <c r="N85" s="1">
        <f t="shared" si="7"/>
        <v>38.13986013986014</v>
      </c>
      <c r="O85">
        <f t="shared" si="8"/>
        <v>40</v>
      </c>
      <c r="P85" s="2">
        <f t="shared" si="11"/>
        <v>0.32500000000000001</v>
      </c>
      <c r="Q85">
        <f t="shared" si="9"/>
        <v>244</v>
      </c>
    </row>
    <row r="86" spans="1:17" x14ac:dyDescent="0.95">
      <c r="A86">
        <v>85</v>
      </c>
      <c r="B86" t="s">
        <v>190</v>
      </c>
      <c r="C86" t="s">
        <v>191</v>
      </c>
      <c r="D86">
        <v>77</v>
      </c>
      <c r="E86">
        <v>131</v>
      </c>
      <c r="F86">
        <v>11</v>
      </c>
      <c r="G86">
        <v>5444</v>
      </c>
      <c r="H86">
        <v>299</v>
      </c>
      <c r="I86">
        <v>45.36</v>
      </c>
      <c r="J86">
        <v>17</v>
      </c>
      <c r="K86">
        <v>18</v>
      </c>
      <c r="L86">
        <v>9</v>
      </c>
      <c r="M86" s="2">
        <f t="shared" si="10"/>
        <v>8.3969465648854963E-2</v>
      </c>
      <c r="N86" s="1">
        <f t="shared" si="7"/>
        <v>41.55725190839695</v>
      </c>
      <c r="O86">
        <f t="shared" si="8"/>
        <v>35</v>
      </c>
      <c r="P86" s="2">
        <f t="shared" si="11"/>
        <v>0.48571428571428571</v>
      </c>
      <c r="Q86">
        <f t="shared" si="9"/>
        <v>299</v>
      </c>
    </row>
    <row r="87" spans="1:17" x14ac:dyDescent="0.95">
      <c r="A87">
        <v>86</v>
      </c>
      <c r="B87" t="s">
        <v>192</v>
      </c>
      <c r="C87" t="s">
        <v>193</v>
      </c>
      <c r="D87">
        <v>61</v>
      </c>
      <c r="E87">
        <v>102</v>
      </c>
      <c r="F87">
        <v>7</v>
      </c>
      <c r="G87">
        <v>5410</v>
      </c>
      <c r="H87">
        <v>211</v>
      </c>
      <c r="I87">
        <v>56.94</v>
      </c>
      <c r="J87">
        <v>15</v>
      </c>
      <c r="K87">
        <v>28</v>
      </c>
      <c r="L87">
        <v>4</v>
      </c>
      <c r="M87" s="2">
        <f t="shared" si="10"/>
        <v>6.8627450980392163E-2</v>
      </c>
      <c r="N87" s="1">
        <f t="shared" si="7"/>
        <v>53.03921568627451</v>
      </c>
      <c r="O87">
        <f t="shared" si="8"/>
        <v>43</v>
      </c>
      <c r="P87" s="2">
        <f t="shared" si="11"/>
        <v>0.34883720930232559</v>
      </c>
      <c r="Q87">
        <f t="shared" si="9"/>
        <v>211</v>
      </c>
    </row>
    <row r="88" spans="1:17" x14ac:dyDescent="0.95">
      <c r="A88">
        <v>87</v>
      </c>
      <c r="B88" t="s">
        <v>194</v>
      </c>
      <c r="C88" t="s">
        <v>195</v>
      </c>
      <c r="D88">
        <v>74</v>
      </c>
      <c r="E88">
        <v>125</v>
      </c>
      <c r="F88">
        <v>14</v>
      </c>
      <c r="G88">
        <v>5357</v>
      </c>
      <c r="H88">
        <v>250</v>
      </c>
      <c r="I88">
        <v>48.26</v>
      </c>
      <c r="J88">
        <v>15</v>
      </c>
      <c r="K88">
        <v>33</v>
      </c>
      <c r="L88">
        <v>4</v>
      </c>
      <c r="M88" s="2">
        <f t="shared" si="10"/>
        <v>0.112</v>
      </c>
      <c r="N88" s="1">
        <f t="shared" si="7"/>
        <v>42.856000000000002</v>
      </c>
      <c r="O88">
        <f t="shared" si="8"/>
        <v>48</v>
      </c>
      <c r="P88" s="2">
        <f t="shared" si="11"/>
        <v>0.3125</v>
      </c>
      <c r="Q88">
        <f t="shared" si="9"/>
        <v>250</v>
      </c>
    </row>
    <row r="89" spans="1:17" x14ac:dyDescent="0.95">
      <c r="A89">
        <v>88</v>
      </c>
      <c r="B89" t="s">
        <v>196</v>
      </c>
      <c r="C89" t="s">
        <v>197</v>
      </c>
      <c r="D89">
        <v>75</v>
      </c>
      <c r="E89">
        <v>136</v>
      </c>
      <c r="F89">
        <v>10</v>
      </c>
      <c r="G89">
        <v>5345</v>
      </c>
      <c r="H89">
        <v>196</v>
      </c>
      <c r="I89">
        <v>42.42</v>
      </c>
      <c r="J89">
        <v>14</v>
      </c>
      <c r="K89">
        <v>26</v>
      </c>
      <c r="L89">
        <v>11</v>
      </c>
      <c r="M89" s="2">
        <f t="shared" si="10"/>
        <v>7.3529411764705885E-2</v>
      </c>
      <c r="N89" s="1">
        <f t="shared" si="7"/>
        <v>39.301470588235297</v>
      </c>
      <c r="O89">
        <f t="shared" si="8"/>
        <v>40</v>
      </c>
      <c r="P89" s="2">
        <f t="shared" si="11"/>
        <v>0.35</v>
      </c>
      <c r="Q89">
        <f t="shared" si="9"/>
        <v>196</v>
      </c>
    </row>
    <row r="90" spans="1:17" x14ac:dyDescent="0.95">
      <c r="A90">
        <v>89</v>
      </c>
      <c r="B90" t="s">
        <v>198</v>
      </c>
      <c r="C90" t="s">
        <v>199</v>
      </c>
      <c r="D90">
        <v>82</v>
      </c>
      <c r="E90">
        <v>148</v>
      </c>
      <c r="F90">
        <v>7</v>
      </c>
      <c r="G90">
        <v>5334</v>
      </c>
      <c r="H90">
        <v>185</v>
      </c>
      <c r="I90">
        <v>37.82</v>
      </c>
      <c r="J90">
        <v>12</v>
      </c>
      <c r="K90">
        <v>23</v>
      </c>
      <c r="L90">
        <v>7</v>
      </c>
      <c r="M90" s="2">
        <f t="shared" si="10"/>
        <v>4.72972972972973E-2</v>
      </c>
      <c r="N90" s="1">
        <f t="shared" si="7"/>
        <v>36.04054054054054</v>
      </c>
      <c r="O90">
        <f t="shared" si="8"/>
        <v>35</v>
      </c>
      <c r="P90" s="2">
        <f t="shared" si="11"/>
        <v>0.34285714285714286</v>
      </c>
      <c r="Q90">
        <f t="shared" si="9"/>
        <v>185</v>
      </c>
    </row>
    <row r="91" spans="1:17" x14ac:dyDescent="0.95">
      <c r="A91">
        <v>90</v>
      </c>
      <c r="B91" t="s">
        <v>200</v>
      </c>
      <c r="C91" t="s">
        <v>201</v>
      </c>
      <c r="D91">
        <v>74</v>
      </c>
      <c r="E91">
        <v>131</v>
      </c>
      <c r="F91">
        <v>7</v>
      </c>
      <c r="G91">
        <v>5312</v>
      </c>
      <c r="H91">
        <v>219</v>
      </c>
      <c r="I91">
        <v>42.83</v>
      </c>
      <c r="J91">
        <v>14</v>
      </c>
      <c r="K91">
        <v>21</v>
      </c>
      <c r="L91">
        <v>9</v>
      </c>
      <c r="M91" s="2">
        <f t="shared" si="10"/>
        <v>5.3435114503816793E-2</v>
      </c>
      <c r="N91" s="1">
        <f t="shared" si="7"/>
        <v>40.549618320610683</v>
      </c>
      <c r="O91">
        <f t="shared" si="8"/>
        <v>35</v>
      </c>
      <c r="P91" s="2">
        <f t="shared" si="11"/>
        <v>0.4</v>
      </c>
      <c r="Q91">
        <f t="shared" si="9"/>
        <v>219</v>
      </c>
    </row>
    <row r="92" spans="1:17" x14ac:dyDescent="0.95">
      <c r="A92">
        <v>91</v>
      </c>
      <c r="B92" t="s">
        <v>202</v>
      </c>
      <c r="C92" t="s">
        <v>30</v>
      </c>
      <c r="D92">
        <v>131</v>
      </c>
      <c r="E92">
        <v>184</v>
      </c>
      <c r="F92">
        <v>15</v>
      </c>
      <c r="G92">
        <v>5248</v>
      </c>
      <c r="H92">
        <v>163</v>
      </c>
      <c r="I92">
        <v>31.05</v>
      </c>
      <c r="J92">
        <v>8</v>
      </c>
      <c r="K92">
        <v>27</v>
      </c>
      <c r="L92">
        <v>16</v>
      </c>
      <c r="M92" s="2">
        <f t="shared" si="10"/>
        <v>8.1521739130434784E-2</v>
      </c>
      <c r="N92" s="1">
        <f t="shared" si="7"/>
        <v>28.521739130434781</v>
      </c>
      <c r="O92">
        <f t="shared" si="8"/>
        <v>35</v>
      </c>
      <c r="P92" s="2">
        <f t="shared" si="11"/>
        <v>0.22857142857142856</v>
      </c>
      <c r="Q92">
        <f t="shared" si="9"/>
        <v>163</v>
      </c>
    </row>
    <row r="93" spans="1:17" x14ac:dyDescent="0.95">
      <c r="A93">
        <v>92</v>
      </c>
      <c r="B93" t="s">
        <v>203</v>
      </c>
      <c r="C93" t="s">
        <v>204</v>
      </c>
      <c r="D93">
        <v>67</v>
      </c>
      <c r="E93">
        <v>123</v>
      </c>
      <c r="F93">
        <v>12</v>
      </c>
      <c r="G93">
        <v>5234</v>
      </c>
      <c r="H93">
        <v>210</v>
      </c>
      <c r="I93">
        <v>47.15</v>
      </c>
      <c r="J93">
        <v>13</v>
      </c>
      <c r="K93">
        <v>27</v>
      </c>
      <c r="L93">
        <v>6</v>
      </c>
      <c r="M93" s="2">
        <f t="shared" si="10"/>
        <v>9.7560975609756101E-2</v>
      </c>
      <c r="N93" s="1">
        <f t="shared" si="7"/>
        <v>42.552845528455286</v>
      </c>
      <c r="O93">
        <f t="shared" si="8"/>
        <v>40</v>
      </c>
      <c r="P93" s="2">
        <f t="shared" si="11"/>
        <v>0.32500000000000001</v>
      </c>
      <c r="Q93">
        <f t="shared" si="9"/>
        <v>210</v>
      </c>
    </row>
    <row r="94" spans="1:17" x14ac:dyDescent="0.95">
      <c r="A94">
        <v>93</v>
      </c>
      <c r="B94" t="s">
        <v>205</v>
      </c>
      <c r="C94" t="s">
        <v>206</v>
      </c>
      <c r="D94">
        <v>75</v>
      </c>
      <c r="E94">
        <v>132</v>
      </c>
      <c r="F94">
        <v>20</v>
      </c>
      <c r="G94">
        <v>5222</v>
      </c>
      <c r="H94" t="s">
        <v>207</v>
      </c>
      <c r="I94">
        <v>46.62</v>
      </c>
      <c r="J94">
        <v>10</v>
      </c>
      <c r="K94">
        <v>39</v>
      </c>
      <c r="L94">
        <v>9</v>
      </c>
      <c r="M94" s="2">
        <f t="shared" si="10"/>
        <v>0.15151515151515152</v>
      </c>
      <c r="N94" s="1">
        <f t="shared" si="7"/>
        <v>39.560606060606062</v>
      </c>
      <c r="O94">
        <f t="shared" si="8"/>
        <v>49</v>
      </c>
      <c r="P94" s="2">
        <f t="shared" si="11"/>
        <v>0.20408163265306123</v>
      </c>
      <c r="Q94">
        <f t="shared" si="9"/>
        <v>161</v>
      </c>
    </row>
    <row r="95" spans="1:17" x14ac:dyDescent="0.95">
      <c r="A95">
        <v>94</v>
      </c>
      <c r="B95" t="s">
        <v>208</v>
      </c>
      <c r="C95" t="s">
        <v>209</v>
      </c>
      <c r="D95">
        <v>102</v>
      </c>
      <c r="E95">
        <v>161</v>
      </c>
      <c r="F95">
        <v>6</v>
      </c>
      <c r="G95">
        <v>5200</v>
      </c>
      <c r="H95">
        <v>208</v>
      </c>
      <c r="I95">
        <v>33.54</v>
      </c>
      <c r="J95">
        <v>14</v>
      </c>
      <c r="K95">
        <v>22</v>
      </c>
      <c r="L95">
        <v>14</v>
      </c>
      <c r="M95" s="2">
        <f t="shared" si="10"/>
        <v>3.7267080745341616E-2</v>
      </c>
      <c r="N95" s="1">
        <f t="shared" si="7"/>
        <v>32.298136645962735</v>
      </c>
      <c r="O95">
        <f t="shared" si="8"/>
        <v>36</v>
      </c>
      <c r="P95" s="2">
        <f t="shared" si="11"/>
        <v>0.3888888888888889</v>
      </c>
      <c r="Q95">
        <f t="shared" si="9"/>
        <v>208</v>
      </c>
    </row>
    <row r="96" spans="1:17" x14ac:dyDescent="0.95">
      <c r="A96">
        <v>95</v>
      </c>
      <c r="B96" t="s">
        <v>210</v>
      </c>
      <c r="C96" t="s">
        <v>211</v>
      </c>
      <c r="D96">
        <v>77</v>
      </c>
      <c r="E96">
        <v>127</v>
      </c>
      <c r="F96">
        <v>9</v>
      </c>
      <c r="G96">
        <v>5138</v>
      </c>
      <c r="H96" t="s">
        <v>212</v>
      </c>
      <c r="I96">
        <v>43.54</v>
      </c>
      <c r="J96">
        <v>12</v>
      </c>
      <c r="K96">
        <v>24</v>
      </c>
      <c r="L96">
        <v>6</v>
      </c>
      <c r="M96" s="2">
        <f t="shared" si="10"/>
        <v>7.0866141732283464E-2</v>
      </c>
      <c r="N96" s="1">
        <f t="shared" si="7"/>
        <v>40.45669291338583</v>
      </c>
      <c r="O96">
        <f t="shared" si="8"/>
        <v>36</v>
      </c>
      <c r="P96" s="2">
        <f t="shared" si="11"/>
        <v>0.33333333333333331</v>
      </c>
      <c r="Q96">
        <f t="shared" si="9"/>
        <v>310</v>
      </c>
    </row>
    <row r="97" spans="1:17" x14ac:dyDescent="0.95">
      <c r="A97">
        <v>96</v>
      </c>
      <c r="B97" t="s">
        <v>213</v>
      </c>
      <c r="C97" t="s">
        <v>214</v>
      </c>
      <c r="D97">
        <v>93</v>
      </c>
      <c r="E97">
        <v>155</v>
      </c>
      <c r="F97">
        <v>12</v>
      </c>
      <c r="G97">
        <v>5105</v>
      </c>
      <c r="H97" t="s">
        <v>215</v>
      </c>
      <c r="I97">
        <v>35.69</v>
      </c>
      <c r="J97">
        <v>4</v>
      </c>
      <c r="K97">
        <v>38</v>
      </c>
      <c r="L97">
        <v>12</v>
      </c>
      <c r="M97" s="2">
        <f t="shared" si="10"/>
        <v>7.7419354838709681E-2</v>
      </c>
      <c r="N97" s="1">
        <f t="shared" si="7"/>
        <v>32.935483870967744</v>
      </c>
      <c r="O97">
        <f t="shared" si="8"/>
        <v>42</v>
      </c>
      <c r="P97" s="2">
        <f t="shared" si="11"/>
        <v>9.5238095238095233E-2</v>
      </c>
      <c r="Q97">
        <f t="shared" si="9"/>
        <v>135</v>
      </c>
    </row>
    <row r="98" spans="1:17" x14ac:dyDescent="0.95">
      <c r="A98">
        <v>97</v>
      </c>
      <c r="B98" t="s">
        <v>216</v>
      </c>
      <c r="C98" t="s">
        <v>217</v>
      </c>
      <c r="D98">
        <v>78</v>
      </c>
      <c r="E98">
        <v>124</v>
      </c>
      <c r="F98">
        <v>11</v>
      </c>
      <c r="G98">
        <v>5062</v>
      </c>
      <c r="H98">
        <v>274</v>
      </c>
      <c r="I98">
        <v>44.79</v>
      </c>
      <c r="J98">
        <v>12</v>
      </c>
      <c r="K98">
        <v>20</v>
      </c>
      <c r="L98">
        <v>10</v>
      </c>
      <c r="M98" s="2">
        <f t="shared" si="10"/>
        <v>8.8709677419354843E-2</v>
      </c>
      <c r="N98" s="1">
        <f t="shared" si="7"/>
        <v>40.822580645161288</v>
      </c>
      <c r="O98">
        <f t="shared" si="8"/>
        <v>32</v>
      </c>
      <c r="P98" s="2">
        <f t="shared" si="11"/>
        <v>0.375</v>
      </c>
      <c r="Q98">
        <f t="shared" si="9"/>
        <v>274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24" x14ac:dyDescent="0.9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D6" sqref="D6"/>
    </sheetView>
  </sheetViews>
  <sheetFormatPr defaultRowHeight="24" x14ac:dyDescent="0.95"/>
  <cols>
    <col min="1" max="1" width="21.765625" customWidth="1"/>
    <col min="2" max="2" width="12" bestFit="1" customWidth="1"/>
  </cols>
  <sheetData>
    <row r="3" spans="1:2" x14ac:dyDescent="0.95">
      <c r="A3" s="3" t="s">
        <v>226</v>
      </c>
      <c r="B3" t="s">
        <v>229</v>
      </c>
    </row>
    <row r="4" spans="1:2" x14ac:dyDescent="0.95">
      <c r="A4" s="4" t="s">
        <v>8</v>
      </c>
      <c r="B4" s="5">
        <v>15921</v>
      </c>
    </row>
    <row r="5" spans="1:2" x14ac:dyDescent="0.95">
      <c r="A5" s="4" t="s">
        <v>24</v>
      </c>
      <c r="B5" s="5">
        <v>11867</v>
      </c>
    </row>
    <row r="6" spans="1:2" x14ac:dyDescent="0.95">
      <c r="A6" s="4" t="s">
        <v>11</v>
      </c>
      <c r="B6" s="5">
        <v>13378</v>
      </c>
    </row>
    <row r="7" spans="1:2" x14ac:dyDescent="0.95">
      <c r="A7" s="4" t="s">
        <v>15</v>
      </c>
      <c r="B7" s="5">
        <v>13288</v>
      </c>
    </row>
    <row r="8" spans="1:2" x14ac:dyDescent="0.95">
      <c r="A8" s="4" t="s">
        <v>19</v>
      </c>
      <c r="B8" s="5">
        <v>12400</v>
      </c>
    </row>
    <row r="9" spans="1:2" x14ac:dyDescent="0.95">
      <c r="A9" s="4" t="s">
        <v>13</v>
      </c>
      <c r="B9" s="5">
        <v>13289</v>
      </c>
    </row>
    <row r="10" spans="1:2" x14ac:dyDescent="0.95">
      <c r="A10" s="4" t="s">
        <v>27</v>
      </c>
      <c r="B10" s="5">
        <v>11814</v>
      </c>
    </row>
    <row r="11" spans="1:2" x14ac:dyDescent="0.95">
      <c r="A11" s="4" t="s">
        <v>21</v>
      </c>
      <c r="B11" s="5">
        <v>11953</v>
      </c>
    </row>
    <row r="12" spans="1:2" x14ac:dyDescent="0.95">
      <c r="A12" s="4" t="s">
        <v>29</v>
      </c>
      <c r="B12" s="5">
        <v>11174</v>
      </c>
    </row>
    <row r="13" spans="1:2" x14ac:dyDescent="0.95">
      <c r="A13" s="4" t="s">
        <v>17</v>
      </c>
      <c r="B13" s="5">
        <v>12472</v>
      </c>
    </row>
    <row r="14" spans="1:2" x14ac:dyDescent="0.95">
      <c r="A14" s="4" t="s">
        <v>227</v>
      </c>
      <c r="B14" s="5">
        <v>127556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7" sqref="A4:A13"/>
    </sheetView>
  </sheetViews>
  <sheetFormatPr defaultRowHeight="24" x14ac:dyDescent="0.95"/>
  <cols>
    <col min="1" max="1" width="18.765625" customWidth="1"/>
    <col min="2" max="2" width="14.07421875" bestFit="1" customWidth="1"/>
  </cols>
  <sheetData>
    <row r="3" spans="1:2" x14ac:dyDescent="0.95">
      <c r="A3" s="3" t="s">
        <v>226</v>
      </c>
      <c r="B3" t="s">
        <v>230</v>
      </c>
    </row>
    <row r="4" spans="1:2" x14ac:dyDescent="0.95">
      <c r="A4" s="4" t="s">
        <v>130</v>
      </c>
      <c r="B4" s="5">
        <v>99.94</v>
      </c>
    </row>
    <row r="5" spans="1:2" x14ac:dyDescent="0.95">
      <c r="A5" s="4" t="s">
        <v>90</v>
      </c>
      <c r="B5" s="5">
        <v>61.99</v>
      </c>
    </row>
    <row r="6" spans="1:2" x14ac:dyDescent="0.95">
      <c r="A6" s="4" t="s">
        <v>138</v>
      </c>
      <c r="B6" s="5">
        <v>58.67</v>
      </c>
    </row>
    <row r="7" spans="1:2" x14ac:dyDescent="0.95">
      <c r="A7" s="4" t="s">
        <v>115</v>
      </c>
      <c r="B7" s="5">
        <v>58.45</v>
      </c>
    </row>
    <row r="8" spans="1:2" x14ac:dyDescent="0.95">
      <c r="A8" s="4" t="s">
        <v>75</v>
      </c>
      <c r="B8" s="5">
        <v>57.78</v>
      </c>
    </row>
    <row r="9" spans="1:2" x14ac:dyDescent="0.95">
      <c r="A9" s="4" t="s">
        <v>19</v>
      </c>
      <c r="B9" s="5">
        <v>57.4</v>
      </c>
    </row>
    <row r="10" spans="1:2" x14ac:dyDescent="0.95">
      <c r="A10" s="4" t="s">
        <v>192</v>
      </c>
      <c r="B10" s="5">
        <v>56.94</v>
      </c>
    </row>
    <row r="11" spans="1:2" x14ac:dyDescent="0.95">
      <c r="A11" s="4" t="s">
        <v>134</v>
      </c>
      <c r="B11" s="5">
        <v>56.67</v>
      </c>
    </row>
    <row r="12" spans="1:2" x14ac:dyDescent="0.95">
      <c r="A12" s="4" t="s">
        <v>13</v>
      </c>
      <c r="B12" s="5">
        <v>55.37</v>
      </c>
    </row>
    <row r="13" spans="1:2" x14ac:dyDescent="0.95">
      <c r="A13" s="4" t="s">
        <v>125</v>
      </c>
      <c r="B13" s="5">
        <v>53.86</v>
      </c>
    </row>
    <row r="14" spans="1:2" x14ac:dyDescent="0.95">
      <c r="A14" s="4" t="s">
        <v>227</v>
      </c>
      <c r="B14" s="5">
        <v>61.707000000000008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5" sqref="B5"/>
    </sheetView>
  </sheetViews>
  <sheetFormatPr defaultRowHeight="24" x14ac:dyDescent="0.95"/>
  <cols>
    <col min="1" max="1" width="21.765625" customWidth="1"/>
    <col min="2" max="2" width="18.07421875" bestFit="1" customWidth="1"/>
  </cols>
  <sheetData>
    <row r="3" spans="1:2" x14ac:dyDescent="0.95">
      <c r="A3" s="3" t="s">
        <v>226</v>
      </c>
      <c r="B3" t="s">
        <v>232</v>
      </c>
    </row>
    <row r="4" spans="1:2" x14ac:dyDescent="0.95">
      <c r="A4" s="4" t="s">
        <v>21</v>
      </c>
      <c r="B4" s="5">
        <v>400</v>
      </c>
    </row>
    <row r="5" spans="1:2" x14ac:dyDescent="0.95">
      <c r="A5" s="4" t="s">
        <v>60</v>
      </c>
      <c r="B5" s="5">
        <v>380</v>
      </c>
    </row>
    <row r="6" spans="1:2" x14ac:dyDescent="0.95">
      <c r="A6" s="4" t="s">
        <v>27</v>
      </c>
      <c r="B6" s="5">
        <v>374</v>
      </c>
    </row>
    <row r="7" spans="1:2" x14ac:dyDescent="0.95">
      <c r="A7" s="4" t="s">
        <v>75</v>
      </c>
      <c r="B7" s="5">
        <v>365</v>
      </c>
    </row>
    <row r="8" spans="1:2" x14ac:dyDescent="0.95">
      <c r="A8" s="4" t="s">
        <v>134</v>
      </c>
      <c r="B8" s="5">
        <v>364</v>
      </c>
    </row>
    <row r="9" spans="1:2" x14ac:dyDescent="0.95">
      <c r="A9" s="4" t="s">
        <v>132</v>
      </c>
      <c r="B9" s="5">
        <v>340</v>
      </c>
    </row>
    <row r="10" spans="1:2" x14ac:dyDescent="0.95">
      <c r="A10" s="4" t="s">
        <v>115</v>
      </c>
      <c r="B10" s="5">
        <v>336</v>
      </c>
    </row>
    <row r="11" spans="1:2" x14ac:dyDescent="0.95">
      <c r="A11" s="4" t="s">
        <v>106</v>
      </c>
      <c r="B11" s="5">
        <v>335</v>
      </c>
    </row>
    <row r="12" spans="1:2" x14ac:dyDescent="0.95">
      <c r="A12" s="4" t="s">
        <v>130</v>
      </c>
      <c r="B12" s="5">
        <v>334</v>
      </c>
    </row>
    <row r="13" spans="1:2" x14ac:dyDescent="0.95">
      <c r="A13" s="4" t="s">
        <v>100</v>
      </c>
      <c r="B13" s="5">
        <v>334</v>
      </c>
    </row>
    <row r="14" spans="1:2" x14ac:dyDescent="0.95">
      <c r="A14" s="4" t="s">
        <v>227</v>
      </c>
      <c r="B14" s="5">
        <v>3562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7" sqref="B7"/>
    </sheetView>
  </sheetViews>
  <sheetFormatPr defaultRowHeight="24" x14ac:dyDescent="0.95"/>
  <cols>
    <col min="1" max="1" width="21.765625" customWidth="1"/>
    <col min="2" max="2" width="10.765625" bestFit="1" customWidth="1"/>
  </cols>
  <sheetData>
    <row r="1" spans="1:2" x14ac:dyDescent="0.95">
      <c r="A1" s="3" t="s">
        <v>226</v>
      </c>
      <c r="B1" t="s">
        <v>233</v>
      </c>
    </row>
    <row r="2" spans="1:2" x14ac:dyDescent="0.95">
      <c r="A2" s="4" t="s">
        <v>8</v>
      </c>
      <c r="B2" s="5">
        <v>51</v>
      </c>
    </row>
    <row r="3" spans="1:2" x14ac:dyDescent="0.95">
      <c r="A3" s="4" t="s">
        <v>13</v>
      </c>
      <c r="B3" s="5">
        <v>45</v>
      </c>
    </row>
    <row r="4" spans="1:2" x14ac:dyDescent="0.95">
      <c r="A4" s="4" t="s">
        <v>11</v>
      </c>
      <c r="B4" s="5">
        <v>41</v>
      </c>
    </row>
    <row r="5" spans="1:2" x14ac:dyDescent="0.95">
      <c r="A5" s="4" t="s">
        <v>19</v>
      </c>
      <c r="B5" s="5">
        <v>38</v>
      </c>
    </row>
    <row r="6" spans="1:2" x14ac:dyDescent="0.95">
      <c r="A6" s="4" t="s">
        <v>15</v>
      </c>
      <c r="B6" s="5">
        <v>36</v>
      </c>
    </row>
    <row r="7" spans="1:2" x14ac:dyDescent="0.95">
      <c r="A7" s="4" t="s">
        <v>36</v>
      </c>
      <c r="B7" s="5">
        <v>34</v>
      </c>
    </row>
    <row r="8" spans="1:2" x14ac:dyDescent="0.95">
      <c r="A8" s="4" t="s">
        <v>21</v>
      </c>
      <c r="B8" s="5">
        <v>34</v>
      </c>
    </row>
    <row r="9" spans="1:2" x14ac:dyDescent="0.95">
      <c r="A9" s="4" t="s">
        <v>33</v>
      </c>
      <c r="B9" s="5">
        <v>34</v>
      </c>
    </row>
    <row r="10" spans="1:2" x14ac:dyDescent="0.95">
      <c r="A10" s="4" t="s">
        <v>27</v>
      </c>
      <c r="B10" s="5">
        <v>34</v>
      </c>
    </row>
    <row r="11" spans="1:2" x14ac:dyDescent="0.95">
      <c r="A11" s="4" t="s">
        <v>17</v>
      </c>
      <c r="B11" s="5">
        <v>33</v>
      </c>
    </row>
    <row r="12" spans="1:2" x14ac:dyDescent="0.95">
      <c r="A12" s="4" t="s">
        <v>227</v>
      </c>
      <c r="B12" s="5">
        <v>380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6" sqref="B6"/>
    </sheetView>
  </sheetViews>
  <sheetFormatPr defaultRowHeight="24" x14ac:dyDescent="0.95"/>
  <cols>
    <col min="1" max="1" width="18.765625" customWidth="1"/>
    <col min="2" max="2" width="9.765625" bestFit="1" customWidth="1"/>
  </cols>
  <sheetData>
    <row r="1" spans="1:2" x14ac:dyDescent="0.95">
      <c r="A1" s="3" t="s">
        <v>226</v>
      </c>
      <c r="B1" t="s">
        <v>234</v>
      </c>
    </row>
    <row r="2" spans="1:2" x14ac:dyDescent="0.95">
      <c r="A2" s="4" t="s">
        <v>8</v>
      </c>
      <c r="B2" s="5">
        <v>68</v>
      </c>
    </row>
    <row r="3" spans="1:2" x14ac:dyDescent="0.95">
      <c r="A3" s="4" t="s">
        <v>24</v>
      </c>
      <c r="B3" s="5">
        <v>66</v>
      </c>
    </row>
    <row r="4" spans="1:2" x14ac:dyDescent="0.95">
      <c r="A4" s="4" t="s">
        <v>29</v>
      </c>
      <c r="B4" s="5">
        <v>63</v>
      </c>
    </row>
    <row r="5" spans="1:2" x14ac:dyDescent="0.95">
      <c r="A5" s="4" t="s">
        <v>15</v>
      </c>
      <c r="B5" s="5">
        <v>63</v>
      </c>
    </row>
    <row r="6" spans="1:2" x14ac:dyDescent="0.95">
      <c r="A6" s="4" t="s">
        <v>11</v>
      </c>
      <c r="B6" s="5">
        <v>62</v>
      </c>
    </row>
    <row r="7" spans="1:2" x14ac:dyDescent="0.95">
      <c r="A7" s="4" t="s">
        <v>13</v>
      </c>
      <c r="B7" s="5">
        <v>58</v>
      </c>
    </row>
    <row r="8" spans="1:2" x14ac:dyDescent="0.95">
      <c r="A8" s="4" t="s">
        <v>17</v>
      </c>
      <c r="B8" s="5">
        <v>57</v>
      </c>
    </row>
    <row r="9" spans="1:2" x14ac:dyDescent="0.95">
      <c r="A9" s="4" t="s">
        <v>53</v>
      </c>
      <c r="B9" s="5">
        <v>56</v>
      </c>
    </row>
    <row r="10" spans="1:2" x14ac:dyDescent="0.95">
      <c r="A10" s="4" t="s">
        <v>19</v>
      </c>
      <c r="B10" s="5">
        <v>52</v>
      </c>
    </row>
    <row r="11" spans="1:2" x14ac:dyDescent="0.95">
      <c r="A11" s="4" t="s">
        <v>38</v>
      </c>
      <c r="B11" s="5">
        <v>51</v>
      </c>
    </row>
    <row r="12" spans="1:2" x14ac:dyDescent="0.95">
      <c r="A12" s="4" t="s">
        <v>227</v>
      </c>
      <c r="B12" s="5">
        <v>596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7" sqref="B7"/>
    </sheetView>
  </sheetViews>
  <sheetFormatPr defaultRowHeight="24" x14ac:dyDescent="0.95"/>
  <cols>
    <col min="1" max="1" width="19.3828125" customWidth="1"/>
    <col min="2" max="2" width="8.765625" bestFit="1" customWidth="1"/>
  </cols>
  <sheetData>
    <row r="1" spans="1:2" x14ac:dyDescent="0.95">
      <c r="A1" s="3" t="s">
        <v>226</v>
      </c>
      <c r="B1" t="s">
        <v>235</v>
      </c>
    </row>
    <row r="2" spans="1:2" x14ac:dyDescent="0.95">
      <c r="A2" s="4" t="s">
        <v>31</v>
      </c>
      <c r="B2" s="5">
        <v>22</v>
      </c>
    </row>
    <row r="3" spans="1:2" x14ac:dyDescent="0.95">
      <c r="A3" s="4" t="s">
        <v>184</v>
      </c>
      <c r="B3" s="5">
        <v>22</v>
      </c>
    </row>
    <row r="4" spans="1:2" x14ac:dyDescent="0.95">
      <c r="A4" s="4" t="s">
        <v>84</v>
      </c>
      <c r="B4" s="5">
        <v>20</v>
      </c>
    </row>
    <row r="5" spans="1:2" x14ac:dyDescent="0.95">
      <c r="A5" s="4" t="s">
        <v>36</v>
      </c>
      <c r="B5" s="5">
        <v>19</v>
      </c>
    </row>
    <row r="6" spans="1:2" x14ac:dyDescent="0.95">
      <c r="A6" s="4" t="s">
        <v>78</v>
      </c>
      <c r="B6" s="5">
        <v>19</v>
      </c>
    </row>
    <row r="7" spans="1:2" x14ac:dyDescent="0.95">
      <c r="A7" s="4" t="s">
        <v>143</v>
      </c>
      <c r="B7" s="5">
        <v>18</v>
      </c>
    </row>
    <row r="8" spans="1:2" x14ac:dyDescent="0.95">
      <c r="A8" s="4" t="s">
        <v>21</v>
      </c>
      <c r="B8" s="5">
        <v>17</v>
      </c>
    </row>
    <row r="9" spans="1:2" x14ac:dyDescent="0.95">
      <c r="A9" s="4" t="s">
        <v>11</v>
      </c>
      <c r="B9" s="5">
        <v>17</v>
      </c>
    </row>
    <row r="10" spans="1:2" x14ac:dyDescent="0.95">
      <c r="A10" s="4" t="s">
        <v>182</v>
      </c>
      <c r="B10" s="5">
        <v>17</v>
      </c>
    </row>
    <row r="11" spans="1:2" x14ac:dyDescent="0.95">
      <c r="A11" s="4" t="s">
        <v>62</v>
      </c>
      <c r="B11" s="5">
        <v>16</v>
      </c>
    </row>
    <row r="12" spans="1:2" x14ac:dyDescent="0.95">
      <c r="A12" s="4" t="s">
        <v>13</v>
      </c>
      <c r="B12" s="5">
        <v>16</v>
      </c>
    </row>
    <row r="13" spans="1:2" x14ac:dyDescent="0.95">
      <c r="A13" s="4" t="s">
        <v>202</v>
      </c>
      <c r="B13" s="5">
        <v>16</v>
      </c>
    </row>
    <row r="14" spans="1:2" x14ac:dyDescent="0.95">
      <c r="A14" s="4" t="s">
        <v>122</v>
      </c>
      <c r="B14" s="5">
        <v>16</v>
      </c>
    </row>
    <row r="15" spans="1:2" x14ac:dyDescent="0.95">
      <c r="A15" s="4" t="s">
        <v>110</v>
      </c>
      <c r="B15" s="5">
        <v>16</v>
      </c>
    </row>
    <row r="16" spans="1:2" x14ac:dyDescent="0.95">
      <c r="A16" s="4" t="s">
        <v>227</v>
      </c>
      <c r="B16" s="5">
        <v>251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
  <sheetViews>
    <sheetView workbookViewId="0">
      <selection activeCell="B10" sqref="B10"/>
    </sheetView>
  </sheetViews>
  <sheetFormatPr defaultRowHeight="24" x14ac:dyDescent="0.95"/>
  <cols>
    <col min="1" max="1" width="23.07421875" bestFit="1" customWidth="1"/>
    <col min="2" max="2" width="10.765625" bestFit="1" customWidth="1"/>
    <col min="3" max="3" width="12" bestFit="1" customWidth="1"/>
  </cols>
  <sheetData>
    <row r="1" spans="1:3" x14ac:dyDescent="0.95">
      <c r="A1" s="3" t="s">
        <v>226</v>
      </c>
      <c r="B1" t="s">
        <v>228</v>
      </c>
      <c r="C1" t="s">
        <v>229</v>
      </c>
    </row>
    <row r="2" spans="1:3" x14ac:dyDescent="0.95">
      <c r="A2" s="4" t="s">
        <v>213</v>
      </c>
      <c r="B2" s="5">
        <v>93</v>
      </c>
      <c r="C2" s="5">
        <v>5105</v>
      </c>
    </row>
    <row r="3" spans="1:3" x14ac:dyDescent="0.95">
      <c r="A3" s="4" t="s">
        <v>54</v>
      </c>
      <c r="B3" s="5">
        <v>114</v>
      </c>
      <c r="C3" s="5">
        <v>8765</v>
      </c>
    </row>
    <row r="4" spans="1:3" x14ac:dyDescent="0.95">
      <c r="A4" s="4" t="s">
        <v>180</v>
      </c>
      <c r="B4" s="5">
        <v>96</v>
      </c>
      <c r="C4" s="5">
        <v>5570</v>
      </c>
    </row>
    <row r="5" spans="1:3" x14ac:dyDescent="0.95">
      <c r="A5" s="4" t="s">
        <v>151</v>
      </c>
      <c r="B5" s="5">
        <v>92</v>
      </c>
      <c r="C5" s="5">
        <v>6338</v>
      </c>
    </row>
    <row r="6" spans="1:3" x14ac:dyDescent="0.95">
      <c r="A6" s="4" t="s">
        <v>66</v>
      </c>
      <c r="B6" s="5">
        <v>133</v>
      </c>
      <c r="C6" s="5">
        <v>8463</v>
      </c>
    </row>
    <row r="7" spans="1:3" x14ac:dyDescent="0.95">
      <c r="A7" s="4" t="s">
        <v>128</v>
      </c>
      <c r="B7" s="5">
        <v>100</v>
      </c>
      <c r="C7" s="5">
        <v>7037</v>
      </c>
    </row>
    <row r="8" spans="1:3" x14ac:dyDescent="0.95">
      <c r="A8" s="4" t="s">
        <v>17</v>
      </c>
      <c r="B8" s="5">
        <v>161</v>
      </c>
      <c r="C8" s="5">
        <v>12472</v>
      </c>
    </row>
    <row r="9" spans="1:3" x14ac:dyDescent="0.95">
      <c r="A9" s="4" t="s">
        <v>29</v>
      </c>
      <c r="B9" s="5">
        <v>156</v>
      </c>
      <c r="C9" s="5">
        <v>11174</v>
      </c>
    </row>
    <row r="10" spans="1:3" x14ac:dyDescent="0.95">
      <c r="A10" s="4" t="s">
        <v>143</v>
      </c>
      <c r="B10" s="5">
        <v>91</v>
      </c>
      <c r="C10" s="5">
        <v>6721</v>
      </c>
    </row>
    <row r="11" spans="1:3" x14ac:dyDescent="0.95">
      <c r="A11" s="4" t="s">
        <v>147</v>
      </c>
      <c r="B11" s="5">
        <v>101</v>
      </c>
      <c r="C11" s="5">
        <v>6453</v>
      </c>
    </row>
    <row r="12" spans="1:3" x14ac:dyDescent="0.95">
      <c r="A12" s="4" t="s">
        <v>21</v>
      </c>
      <c r="B12" s="5">
        <v>131</v>
      </c>
      <c r="C12" s="5">
        <v>11953</v>
      </c>
    </row>
    <row r="13" spans="1:3" x14ac:dyDescent="0.95">
      <c r="A13" s="4" t="s">
        <v>145</v>
      </c>
      <c r="B13" s="5">
        <v>92</v>
      </c>
      <c r="C13" s="5">
        <v>6589</v>
      </c>
    </row>
    <row r="14" spans="1:3" x14ac:dyDescent="0.95">
      <c r="A14" s="4" t="s">
        <v>97</v>
      </c>
      <c r="B14" s="5">
        <v>108</v>
      </c>
      <c r="C14" s="5">
        <v>7558</v>
      </c>
    </row>
    <row r="15" spans="1:3" x14ac:dyDescent="0.95">
      <c r="A15" s="4" t="s">
        <v>118</v>
      </c>
      <c r="B15" s="5">
        <v>103</v>
      </c>
      <c r="C15" s="5">
        <v>7214</v>
      </c>
    </row>
    <row r="16" spans="1:3" x14ac:dyDescent="0.95">
      <c r="A16" s="4" t="s">
        <v>103</v>
      </c>
      <c r="B16" s="5">
        <v>110</v>
      </c>
      <c r="C16" s="5">
        <v>7515</v>
      </c>
    </row>
    <row r="17" spans="1:3" x14ac:dyDescent="0.95">
      <c r="A17" s="4" t="s">
        <v>176</v>
      </c>
      <c r="B17" s="5">
        <v>102</v>
      </c>
      <c r="C17" s="5">
        <v>5762</v>
      </c>
    </row>
    <row r="18" spans="1:3" x14ac:dyDescent="0.95">
      <c r="A18" s="4" t="s">
        <v>106</v>
      </c>
      <c r="B18" s="5">
        <v>0</v>
      </c>
      <c r="C18" s="5">
        <v>7500</v>
      </c>
    </row>
    <row r="19" spans="1:3" x14ac:dyDescent="0.95">
      <c r="A19" s="4" t="s">
        <v>136</v>
      </c>
      <c r="B19" s="5">
        <v>116</v>
      </c>
      <c r="C19" s="5">
        <v>6868</v>
      </c>
    </row>
    <row r="20" spans="1:3" x14ac:dyDescent="0.95">
      <c r="A20" s="4" t="s">
        <v>110</v>
      </c>
      <c r="B20" s="5">
        <v>107</v>
      </c>
      <c r="C20" s="5">
        <v>7422</v>
      </c>
    </row>
    <row r="21" spans="1:3" x14ac:dyDescent="0.95">
      <c r="A21" s="4" t="s">
        <v>170</v>
      </c>
      <c r="B21" s="5">
        <v>78</v>
      </c>
      <c r="C21" s="5">
        <v>5807</v>
      </c>
    </row>
    <row r="22" spans="1:3" x14ac:dyDescent="0.95">
      <c r="A22" s="4" t="s">
        <v>130</v>
      </c>
      <c r="B22" s="5">
        <v>52</v>
      </c>
      <c r="C22" s="5">
        <v>6996</v>
      </c>
    </row>
    <row r="23" spans="1:3" x14ac:dyDescent="0.95">
      <c r="A23" s="4" t="s">
        <v>68</v>
      </c>
      <c r="B23" s="5">
        <v>117</v>
      </c>
      <c r="C23" s="5">
        <v>8231</v>
      </c>
    </row>
    <row r="24" spans="1:3" x14ac:dyDescent="0.95">
      <c r="A24" s="4" t="s">
        <v>109</v>
      </c>
      <c r="B24" s="5">
        <v>116</v>
      </c>
      <c r="C24" s="5">
        <v>7487</v>
      </c>
    </row>
    <row r="25" spans="1:3" x14ac:dyDescent="0.95">
      <c r="A25" s="4" t="s">
        <v>27</v>
      </c>
      <c r="B25" s="5">
        <v>149</v>
      </c>
      <c r="C25" s="5">
        <v>11814</v>
      </c>
    </row>
    <row r="26" spans="1:3" x14ac:dyDescent="0.95">
      <c r="A26" s="4" t="s">
        <v>189</v>
      </c>
      <c r="B26" s="5">
        <v>74</v>
      </c>
      <c r="C26" s="5">
        <v>5454</v>
      </c>
    </row>
    <row r="27" spans="1:3" x14ac:dyDescent="0.95">
      <c r="A27" s="4" t="s">
        <v>72</v>
      </c>
      <c r="B27" s="5">
        <v>108</v>
      </c>
      <c r="C27" s="5">
        <v>8114</v>
      </c>
    </row>
    <row r="28" spans="1:3" x14ac:dyDescent="0.95">
      <c r="A28" s="4" t="s">
        <v>112</v>
      </c>
      <c r="B28" s="5">
        <v>101</v>
      </c>
      <c r="C28" s="5">
        <v>7289</v>
      </c>
    </row>
    <row r="29" spans="1:3" x14ac:dyDescent="0.95">
      <c r="A29" s="4" t="s">
        <v>46</v>
      </c>
      <c r="B29" s="5">
        <v>118</v>
      </c>
      <c r="C29" s="5">
        <v>8900</v>
      </c>
    </row>
    <row r="30" spans="1:3" x14ac:dyDescent="0.95">
      <c r="A30" s="4" t="s">
        <v>44</v>
      </c>
      <c r="B30" s="5">
        <v>117</v>
      </c>
      <c r="C30" s="5">
        <v>9265</v>
      </c>
    </row>
    <row r="31" spans="1:3" x14ac:dyDescent="0.95">
      <c r="A31" s="4" t="s">
        <v>140</v>
      </c>
      <c r="B31" s="5">
        <v>100</v>
      </c>
      <c r="C31" s="5">
        <v>6744</v>
      </c>
    </row>
    <row r="32" spans="1:3" x14ac:dyDescent="0.95">
      <c r="A32" s="4" t="s">
        <v>162</v>
      </c>
      <c r="B32" s="5">
        <v>91</v>
      </c>
      <c r="C32" s="5">
        <v>6080</v>
      </c>
    </row>
    <row r="33" spans="1:3" x14ac:dyDescent="0.95">
      <c r="A33" s="4" t="s">
        <v>125</v>
      </c>
      <c r="B33" s="5">
        <v>87</v>
      </c>
      <c r="C33" s="5">
        <v>7110</v>
      </c>
    </row>
    <row r="34" spans="1:3" x14ac:dyDescent="0.95">
      <c r="A34" s="4" t="s">
        <v>75</v>
      </c>
      <c r="B34" s="5">
        <v>93</v>
      </c>
      <c r="C34" s="5">
        <v>8032</v>
      </c>
    </row>
    <row r="35" spans="1:3" x14ac:dyDescent="0.95">
      <c r="A35" s="4" t="s">
        <v>159</v>
      </c>
      <c r="B35" s="5">
        <v>90</v>
      </c>
      <c r="C35" s="5">
        <v>6167</v>
      </c>
    </row>
    <row r="36" spans="1:3" x14ac:dyDescent="0.95">
      <c r="A36" s="4" t="s">
        <v>41</v>
      </c>
      <c r="B36" s="5">
        <v>124</v>
      </c>
      <c r="C36" s="5">
        <v>9282</v>
      </c>
    </row>
    <row r="37" spans="1:3" x14ac:dyDescent="0.95">
      <c r="A37" s="4" t="s">
        <v>196</v>
      </c>
      <c r="B37" s="5">
        <v>75</v>
      </c>
      <c r="C37" s="5">
        <v>5345</v>
      </c>
    </row>
    <row r="38" spans="1:3" x14ac:dyDescent="0.95">
      <c r="A38" s="4" t="s">
        <v>51</v>
      </c>
      <c r="B38" s="5">
        <v>120</v>
      </c>
      <c r="C38" s="5">
        <v>8830</v>
      </c>
    </row>
    <row r="39" spans="1:3" x14ac:dyDescent="0.95">
      <c r="A39" s="4" t="s">
        <v>87</v>
      </c>
      <c r="B39" s="5">
        <v>118</v>
      </c>
      <c r="C39" s="5">
        <v>7727</v>
      </c>
    </row>
    <row r="40" spans="1:3" x14ac:dyDescent="0.95">
      <c r="A40" s="4" t="s">
        <v>208</v>
      </c>
      <c r="B40" s="5">
        <v>102</v>
      </c>
      <c r="C40" s="5">
        <v>5200</v>
      </c>
    </row>
    <row r="41" spans="1:3" x14ac:dyDescent="0.95">
      <c r="A41" s="4" t="s">
        <v>64</v>
      </c>
      <c r="B41" s="5">
        <v>121</v>
      </c>
      <c r="C41" s="5">
        <v>8540</v>
      </c>
    </row>
    <row r="42" spans="1:3" x14ac:dyDescent="0.95">
      <c r="A42" s="4" t="s">
        <v>48</v>
      </c>
      <c r="B42" s="5">
        <v>124</v>
      </c>
      <c r="C42" s="5">
        <v>8832</v>
      </c>
    </row>
    <row r="43" spans="1:3" x14ac:dyDescent="0.95">
      <c r="A43" s="4" t="s">
        <v>192</v>
      </c>
      <c r="B43" s="5">
        <v>61</v>
      </c>
      <c r="C43" s="5">
        <v>5410</v>
      </c>
    </row>
    <row r="44" spans="1:3" x14ac:dyDescent="0.95">
      <c r="A44" s="4" t="s">
        <v>38</v>
      </c>
      <c r="B44" s="5">
        <v>0</v>
      </c>
      <c r="C44" s="5">
        <v>9367</v>
      </c>
    </row>
    <row r="45" spans="1:3" x14ac:dyDescent="0.95">
      <c r="A45" s="4" t="s">
        <v>198</v>
      </c>
      <c r="B45" s="5">
        <v>82</v>
      </c>
      <c r="C45" s="5">
        <v>5334</v>
      </c>
    </row>
    <row r="46" spans="1:3" x14ac:dyDescent="0.95">
      <c r="A46" s="4" t="s">
        <v>210</v>
      </c>
      <c r="B46" s="5">
        <v>77</v>
      </c>
      <c r="C46" s="5">
        <v>5138</v>
      </c>
    </row>
    <row r="47" spans="1:3" x14ac:dyDescent="0.95">
      <c r="A47" s="4" t="s">
        <v>13</v>
      </c>
      <c r="B47" s="5">
        <v>166</v>
      </c>
      <c r="C47" s="5">
        <v>13289</v>
      </c>
    </row>
    <row r="48" spans="1:3" x14ac:dyDescent="0.95">
      <c r="A48" s="4" t="s">
        <v>88</v>
      </c>
      <c r="B48" s="5">
        <v>105</v>
      </c>
      <c r="C48" s="5">
        <v>7696</v>
      </c>
    </row>
    <row r="49" spans="1:3" x14ac:dyDescent="0.95">
      <c r="A49" s="4" t="s">
        <v>19</v>
      </c>
      <c r="B49" s="5">
        <v>134</v>
      </c>
      <c r="C49" s="5">
        <v>12400</v>
      </c>
    </row>
    <row r="50" spans="1:3" x14ac:dyDescent="0.95">
      <c r="A50" s="4" t="s">
        <v>194</v>
      </c>
      <c r="B50" s="5">
        <v>74</v>
      </c>
      <c r="C50" s="5">
        <v>5357</v>
      </c>
    </row>
    <row r="51" spans="1:3" x14ac:dyDescent="0.95">
      <c r="A51" s="4" t="s">
        <v>138</v>
      </c>
      <c r="B51" s="5">
        <v>82</v>
      </c>
      <c r="C51" s="5">
        <v>6806</v>
      </c>
    </row>
    <row r="52" spans="1:3" x14ac:dyDescent="0.95">
      <c r="A52" s="4" t="s">
        <v>70</v>
      </c>
      <c r="B52" s="5">
        <v>104</v>
      </c>
      <c r="C52" s="5">
        <v>8181</v>
      </c>
    </row>
    <row r="53" spans="1:3" x14ac:dyDescent="0.95">
      <c r="A53" s="4" t="s">
        <v>114</v>
      </c>
      <c r="B53" s="5">
        <v>86</v>
      </c>
      <c r="C53" s="5">
        <v>7272</v>
      </c>
    </row>
    <row r="54" spans="1:3" x14ac:dyDescent="0.95">
      <c r="A54" s="4" t="s">
        <v>134</v>
      </c>
      <c r="B54" s="5">
        <v>79</v>
      </c>
      <c r="C54" s="5">
        <v>6971</v>
      </c>
    </row>
    <row r="55" spans="1:3" x14ac:dyDescent="0.95">
      <c r="A55" s="4" t="s">
        <v>95</v>
      </c>
      <c r="B55" s="5">
        <v>110</v>
      </c>
      <c r="C55" s="5">
        <v>7584</v>
      </c>
    </row>
    <row r="56" spans="1:3" x14ac:dyDescent="0.95">
      <c r="A56" s="4" t="s">
        <v>157</v>
      </c>
      <c r="B56" s="5">
        <v>99</v>
      </c>
      <c r="C56" s="5">
        <v>6215</v>
      </c>
    </row>
    <row r="57" spans="1:3" x14ac:dyDescent="0.95">
      <c r="A57" s="4" t="s">
        <v>84</v>
      </c>
      <c r="B57" s="5">
        <v>115</v>
      </c>
      <c r="C57" s="5">
        <v>7728</v>
      </c>
    </row>
    <row r="58" spans="1:3" x14ac:dyDescent="0.95">
      <c r="A58" s="4" t="s">
        <v>100</v>
      </c>
      <c r="B58" s="5">
        <v>104</v>
      </c>
      <c r="C58" s="5">
        <v>7525</v>
      </c>
    </row>
    <row r="59" spans="1:3" x14ac:dyDescent="0.95">
      <c r="A59" s="4" t="s">
        <v>93</v>
      </c>
      <c r="B59" s="5">
        <v>114</v>
      </c>
      <c r="C59" s="5">
        <v>7624</v>
      </c>
    </row>
    <row r="60" spans="1:3" x14ac:dyDescent="0.95">
      <c r="A60" s="4" t="s">
        <v>190</v>
      </c>
      <c r="B60" s="5">
        <v>77</v>
      </c>
      <c r="C60" s="5">
        <v>5444</v>
      </c>
    </row>
    <row r="61" spans="1:3" x14ac:dyDescent="0.95">
      <c r="A61" s="4" t="s">
        <v>168</v>
      </c>
      <c r="B61" s="5">
        <v>76</v>
      </c>
      <c r="C61" s="5">
        <v>5825</v>
      </c>
    </row>
    <row r="62" spans="1:3" x14ac:dyDescent="0.95">
      <c r="A62" s="4" t="s">
        <v>78</v>
      </c>
      <c r="B62" s="5">
        <v>128</v>
      </c>
      <c r="C62" s="5">
        <v>8029</v>
      </c>
    </row>
    <row r="63" spans="1:3" x14ac:dyDescent="0.95">
      <c r="A63" s="4" t="s">
        <v>153</v>
      </c>
      <c r="B63" s="5">
        <v>79</v>
      </c>
      <c r="C63" s="5">
        <v>6235</v>
      </c>
    </row>
    <row r="64" spans="1:3" x14ac:dyDescent="0.95">
      <c r="A64" s="4" t="s">
        <v>205</v>
      </c>
      <c r="B64" s="5">
        <v>75</v>
      </c>
      <c r="C64" s="5">
        <v>5222</v>
      </c>
    </row>
    <row r="65" spans="1:3" x14ac:dyDescent="0.95">
      <c r="A65" s="4" t="s">
        <v>57</v>
      </c>
      <c r="B65" s="5">
        <v>115</v>
      </c>
      <c r="C65" s="5">
        <v>8643</v>
      </c>
    </row>
    <row r="66" spans="1:3" x14ac:dyDescent="0.95">
      <c r="A66" s="4" t="s">
        <v>200</v>
      </c>
      <c r="B66" s="5">
        <v>74</v>
      </c>
      <c r="C66" s="5">
        <v>5312</v>
      </c>
    </row>
    <row r="67" spans="1:3" x14ac:dyDescent="0.95">
      <c r="A67" s="4" t="s">
        <v>60</v>
      </c>
      <c r="B67" s="5">
        <v>103</v>
      </c>
      <c r="C67" s="5">
        <v>8625</v>
      </c>
    </row>
    <row r="68" spans="1:3" x14ac:dyDescent="0.95">
      <c r="A68" s="4" t="s">
        <v>98</v>
      </c>
      <c r="B68" s="5">
        <v>90</v>
      </c>
      <c r="C68" s="5">
        <v>7530</v>
      </c>
    </row>
    <row r="69" spans="1:3" x14ac:dyDescent="0.95">
      <c r="A69" s="4" t="s">
        <v>178</v>
      </c>
      <c r="B69" s="5">
        <v>82</v>
      </c>
      <c r="C69" s="5">
        <v>5719</v>
      </c>
    </row>
    <row r="70" spans="1:3" x14ac:dyDescent="0.95">
      <c r="A70" s="4" t="s">
        <v>184</v>
      </c>
      <c r="B70" s="5">
        <v>90</v>
      </c>
      <c r="C70" s="5">
        <v>5502</v>
      </c>
    </row>
    <row r="71" spans="1:3" x14ac:dyDescent="0.95">
      <c r="A71" s="4" t="s">
        <v>182</v>
      </c>
      <c r="B71" s="5">
        <v>147</v>
      </c>
      <c r="C71" s="5">
        <v>5515</v>
      </c>
    </row>
    <row r="72" spans="1:3" x14ac:dyDescent="0.95">
      <c r="A72" s="4" t="s">
        <v>174</v>
      </c>
      <c r="B72" s="5">
        <v>96</v>
      </c>
      <c r="C72" s="5">
        <v>5764</v>
      </c>
    </row>
    <row r="73" spans="1:3" x14ac:dyDescent="0.95">
      <c r="A73" s="4" t="s">
        <v>202</v>
      </c>
      <c r="B73" s="5">
        <v>131</v>
      </c>
      <c r="C73" s="5">
        <v>5248</v>
      </c>
    </row>
    <row r="74" spans="1:3" x14ac:dyDescent="0.95">
      <c r="A74" s="4" t="s">
        <v>149</v>
      </c>
      <c r="B74" s="5">
        <v>93</v>
      </c>
      <c r="C74" s="5">
        <v>6361</v>
      </c>
    </row>
    <row r="75" spans="1:3" x14ac:dyDescent="0.95">
      <c r="A75" s="4" t="s">
        <v>15</v>
      </c>
      <c r="B75" s="5">
        <v>164</v>
      </c>
      <c r="C75" s="5">
        <v>13288</v>
      </c>
    </row>
    <row r="76" spans="1:3" x14ac:dyDescent="0.95">
      <c r="A76" s="4" t="s">
        <v>155</v>
      </c>
      <c r="B76" s="5">
        <v>79</v>
      </c>
      <c r="C76" s="5">
        <v>6227</v>
      </c>
    </row>
    <row r="77" spans="1:3" x14ac:dyDescent="0.95">
      <c r="A77" s="4" t="s">
        <v>164</v>
      </c>
      <c r="B77" s="5">
        <v>86</v>
      </c>
      <c r="C77" s="5">
        <v>5949</v>
      </c>
    </row>
    <row r="78" spans="1:3" x14ac:dyDescent="0.95">
      <c r="A78" s="4" t="s">
        <v>160</v>
      </c>
      <c r="B78" s="5">
        <v>79</v>
      </c>
      <c r="C78" s="5">
        <v>6149</v>
      </c>
    </row>
    <row r="79" spans="1:3" x14ac:dyDescent="0.95">
      <c r="A79" s="4" t="s">
        <v>166</v>
      </c>
      <c r="B79" s="5">
        <v>87</v>
      </c>
      <c r="C79" s="5">
        <v>5842</v>
      </c>
    </row>
    <row r="80" spans="1:3" x14ac:dyDescent="0.95">
      <c r="A80" s="4" t="s">
        <v>11</v>
      </c>
      <c r="B80" s="5">
        <v>168</v>
      </c>
      <c r="C80" s="5">
        <v>13378</v>
      </c>
    </row>
    <row r="81" spans="1:3" x14ac:dyDescent="0.95">
      <c r="A81" s="4" t="s">
        <v>24</v>
      </c>
      <c r="B81" s="5">
        <v>164</v>
      </c>
      <c r="C81" s="5">
        <v>11867</v>
      </c>
    </row>
    <row r="82" spans="1:3" x14ac:dyDescent="0.95">
      <c r="A82" s="4" t="s">
        <v>172</v>
      </c>
      <c r="B82" s="5">
        <v>103</v>
      </c>
      <c r="C82" s="5">
        <v>5768</v>
      </c>
    </row>
    <row r="83" spans="1:3" x14ac:dyDescent="0.95">
      <c r="A83" s="4" t="s">
        <v>120</v>
      </c>
      <c r="B83" s="5">
        <v>113</v>
      </c>
      <c r="C83" s="5">
        <v>7212</v>
      </c>
    </row>
    <row r="84" spans="1:3" x14ac:dyDescent="0.95">
      <c r="A84" s="4" t="s">
        <v>33</v>
      </c>
      <c r="B84" s="5">
        <v>125</v>
      </c>
      <c r="C84" s="5">
        <v>10122</v>
      </c>
    </row>
    <row r="85" spans="1:3" x14ac:dyDescent="0.95">
      <c r="A85" s="4" t="s">
        <v>122</v>
      </c>
      <c r="B85" s="5">
        <v>111</v>
      </c>
      <c r="C85" s="5">
        <v>7172</v>
      </c>
    </row>
    <row r="86" spans="1:3" x14ac:dyDescent="0.95">
      <c r="A86" s="4" t="s">
        <v>90</v>
      </c>
      <c r="B86" s="5">
        <v>0</v>
      </c>
      <c r="C86" s="5">
        <v>7625</v>
      </c>
    </row>
    <row r="87" spans="1:3" x14ac:dyDescent="0.95">
      <c r="A87" s="4" t="s">
        <v>8</v>
      </c>
      <c r="B87" s="5">
        <v>200</v>
      </c>
      <c r="C87" s="5">
        <v>15921</v>
      </c>
    </row>
    <row r="88" spans="1:3" x14ac:dyDescent="0.95">
      <c r="A88" s="4" t="s">
        <v>31</v>
      </c>
      <c r="B88" s="5">
        <v>168</v>
      </c>
      <c r="C88" s="5">
        <v>10927</v>
      </c>
    </row>
    <row r="89" spans="1:3" x14ac:dyDescent="0.95">
      <c r="A89" s="4" t="s">
        <v>132</v>
      </c>
      <c r="B89" s="5">
        <v>110</v>
      </c>
      <c r="C89" s="5">
        <v>6973</v>
      </c>
    </row>
    <row r="90" spans="1:3" x14ac:dyDescent="0.95">
      <c r="A90" s="4" t="s">
        <v>186</v>
      </c>
      <c r="B90" s="5">
        <v>87</v>
      </c>
      <c r="C90" s="5">
        <v>5492</v>
      </c>
    </row>
    <row r="91" spans="1:3" x14ac:dyDescent="0.95">
      <c r="A91" s="4" t="s">
        <v>188</v>
      </c>
      <c r="B91" s="5">
        <v>81</v>
      </c>
      <c r="C91" s="5">
        <v>5462</v>
      </c>
    </row>
    <row r="92" spans="1:3" x14ac:dyDescent="0.95">
      <c r="A92" s="4" t="s">
        <v>81</v>
      </c>
      <c r="B92" s="5">
        <v>97</v>
      </c>
      <c r="C92" s="5">
        <v>7801</v>
      </c>
    </row>
    <row r="93" spans="1:3" x14ac:dyDescent="0.95">
      <c r="A93" s="4" t="s">
        <v>62</v>
      </c>
      <c r="B93" s="5">
        <v>104</v>
      </c>
      <c r="C93" s="5">
        <v>8586</v>
      </c>
    </row>
    <row r="94" spans="1:3" x14ac:dyDescent="0.95">
      <c r="A94" s="4" t="s">
        <v>53</v>
      </c>
      <c r="B94" s="5">
        <v>134</v>
      </c>
      <c r="C94" s="5">
        <v>8781</v>
      </c>
    </row>
    <row r="95" spans="1:3" x14ac:dyDescent="0.95">
      <c r="A95" s="4" t="s">
        <v>203</v>
      </c>
      <c r="B95" s="5">
        <v>67</v>
      </c>
      <c r="C95" s="5">
        <v>5234</v>
      </c>
    </row>
    <row r="96" spans="1:3" x14ac:dyDescent="0.95">
      <c r="A96" s="4" t="s">
        <v>115</v>
      </c>
      <c r="B96" s="5">
        <v>85</v>
      </c>
      <c r="C96" s="5">
        <v>7249</v>
      </c>
    </row>
    <row r="97" spans="1:3" x14ac:dyDescent="0.95">
      <c r="A97" s="4" t="s">
        <v>36</v>
      </c>
      <c r="B97" s="5">
        <v>118</v>
      </c>
      <c r="C97" s="5">
        <v>10099</v>
      </c>
    </row>
    <row r="98" spans="1:3" x14ac:dyDescent="0.95">
      <c r="A98" s="4" t="s">
        <v>216</v>
      </c>
      <c r="B98" s="5">
        <v>78</v>
      </c>
      <c r="C98" s="5">
        <v>5062</v>
      </c>
    </row>
    <row r="99" spans="1:3" x14ac:dyDescent="0.95">
      <c r="A99" s="4" t="s">
        <v>227</v>
      </c>
      <c r="B99" s="5">
        <v>9937</v>
      </c>
      <c r="C99" s="5">
        <v>736782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A2" sqref="A2:A11"/>
    </sheetView>
  </sheetViews>
  <sheetFormatPr defaultRowHeight="24" x14ac:dyDescent="0.95"/>
  <cols>
    <col min="1" max="1" width="21.765625" customWidth="1"/>
    <col min="2" max="2" width="10.765625" bestFit="1" customWidth="1"/>
    <col min="3" max="3" width="9.765625" bestFit="1" customWidth="1"/>
  </cols>
  <sheetData>
    <row r="1" spans="1:3" x14ac:dyDescent="0.95">
      <c r="A1" s="3" t="s">
        <v>226</v>
      </c>
      <c r="B1" t="s">
        <v>233</v>
      </c>
      <c r="C1" t="s">
        <v>234</v>
      </c>
    </row>
    <row r="2" spans="1:3" x14ac:dyDescent="0.95">
      <c r="A2" s="4" t="s">
        <v>8</v>
      </c>
      <c r="B2" s="5">
        <v>51</v>
      </c>
      <c r="C2" s="5">
        <v>68</v>
      </c>
    </row>
    <row r="3" spans="1:3" x14ac:dyDescent="0.95">
      <c r="A3" s="4" t="s">
        <v>13</v>
      </c>
      <c r="B3" s="5">
        <v>45</v>
      </c>
      <c r="C3" s="5">
        <v>58</v>
      </c>
    </row>
    <row r="4" spans="1:3" x14ac:dyDescent="0.95">
      <c r="A4" s="4" t="s">
        <v>11</v>
      </c>
      <c r="B4" s="5">
        <v>41</v>
      </c>
      <c r="C4" s="5">
        <v>62</v>
      </c>
    </row>
    <row r="5" spans="1:3" x14ac:dyDescent="0.95">
      <c r="A5" s="4" t="s">
        <v>19</v>
      </c>
      <c r="B5" s="5">
        <v>38</v>
      </c>
      <c r="C5" s="5">
        <v>52</v>
      </c>
    </row>
    <row r="6" spans="1:3" x14ac:dyDescent="0.95">
      <c r="A6" s="4" t="s">
        <v>15</v>
      </c>
      <c r="B6" s="5">
        <v>36</v>
      </c>
      <c r="C6" s="5">
        <v>63</v>
      </c>
    </row>
    <row r="7" spans="1:3" x14ac:dyDescent="0.95">
      <c r="A7" s="4" t="s">
        <v>36</v>
      </c>
      <c r="B7" s="5">
        <v>34</v>
      </c>
      <c r="C7" s="5">
        <v>33</v>
      </c>
    </row>
    <row r="8" spans="1:3" x14ac:dyDescent="0.95">
      <c r="A8" s="4" t="s">
        <v>21</v>
      </c>
      <c r="B8" s="5">
        <v>34</v>
      </c>
      <c r="C8" s="5">
        <v>48</v>
      </c>
    </row>
    <row r="9" spans="1:3" x14ac:dyDescent="0.95">
      <c r="A9" s="4" t="s">
        <v>33</v>
      </c>
      <c r="B9" s="5">
        <v>34</v>
      </c>
      <c r="C9" s="5">
        <v>45</v>
      </c>
    </row>
    <row r="10" spans="1:3" x14ac:dyDescent="0.95">
      <c r="A10" s="4" t="s">
        <v>27</v>
      </c>
      <c r="B10" s="5">
        <v>34</v>
      </c>
      <c r="C10" s="5">
        <v>50</v>
      </c>
    </row>
    <row r="11" spans="1:3" x14ac:dyDescent="0.95">
      <c r="A11" s="4" t="s">
        <v>17</v>
      </c>
      <c r="B11" s="5">
        <v>33</v>
      </c>
      <c r="C11" s="5">
        <v>57</v>
      </c>
    </row>
    <row r="12" spans="1:3" x14ac:dyDescent="0.95">
      <c r="A12" s="4" t="s">
        <v>227</v>
      </c>
      <c r="B12" s="5">
        <v>380</v>
      </c>
      <c r="C12" s="5">
        <v>536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3"/>
  <sheetViews>
    <sheetView workbookViewId="0">
      <selection activeCell="D14" sqref="D14"/>
    </sheetView>
  </sheetViews>
  <sheetFormatPr defaultRowHeight="24" x14ac:dyDescent="0.95"/>
  <cols>
    <col min="2" max="2" width="18.53515625" customWidth="1"/>
  </cols>
  <sheetData>
    <row r="1" spans="2:4" x14ac:dyDescent="0.95">
      <c r="B1" t="s">
        <v>237</v>
      </c>
    </row>
    <row r="3" spans="2:4" x14ac:dyDescent="0.95">
      <c r="B3" t="s">
        <v>238</v>
      </c>
      <c r="D3">
        <f>COUNTA(raw_data!A2:A1001)</f>
        <v>97</v>
      </c>
    </row>
    <row r="5" spans="2:4" x14ac:dyDescent="0.95">
      <c r="B5" t="s">
        <v>239</v>
      </c>
      <c r="D5">
        <f>SUM(raw_data!D2:D1000)</f>
        <v>9937</v>
      </c>
    </row>
    <row r="7" spans="2:4" x14ac:dyDescent="0.95">
      <c r="B7" t="s">
        <v>240</v>
      </c>
      <c r="D7">
        <f>SUM(raw_data!G2:G1000)</f>
        <v>736782</v>
      </c>
    </row>
    <row r="9" spans="2:4" x14ac:dyDescent="0.95">
      <c r="B9" t="s">
        <v>241</v>
      </c>
      <c r="D9">
        <f>SUM(raw_data!J2:J1000)</f>
        <v>1997</v>
      </c>
    </row>
    <row r="11" spans="2:4" x14ac:dyDescent="0.95">
      <c r="B11" t="s">
        <v>242</v>
      </c>
      <c r="D11">
        <f>SUM(raw_data!K2:K1000)</f>
        <v>3453</v>
      </c>
    </row>
    <row r="13" spans="2:4" x14ac:dyDescent="0.95">
      <c r="B13" t="s">
        <v>243</v>
      </c>
      <c r="D13">
        <f>MAX(raw_data!Q2:Q1000)</f>
        <v>400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showGridLines="0" tabSelected="1" workbookViewId="0">
      <selection activeCell="N7" sqref="N7"/>
    </sheetView>
  </sheetViews>
  <sheetFormatPr defaultRowHeight="24" x14ac:dyDescent="0.95"/>
  <sheetData>
    <row r="1" spans="1:15" x14ac:dyDescent="0.95">
      <c r="A1" s="6" t="s">
        <v>236</v>
      </c>
      <c r="B1" s="7"/>
      <c r="C1" s="7"/>
      <c r="D1" s="7"/>
      <c r="E1" s="7"/>
      <c r="F1" s="7"/>
      <c r="G1" s="7"/>
      <c r="H1" s="7"/>
      <c r="I1" s="7"/>
      <c r="J1" s="7"/>
      <c r="K1" s="7"/>
      <c r="L1" s="7"/>
      <c r="M1" s="7"/>
      <c r="N1" s="7"/>
      <c r="O1" s="7"/>
    </row>
    <row r="2" spans="1:15" x14ac:dyDescent="0.95">
      <c r="A2" s="7"/>
      <c r="B2" s="7"/>
      <c r="C2" s="7"/>
      <c r="D2" s="7"/>
      <c r="E2" s="7"/>
      <c r="F2" s="7"/>
      <c r="G2" s="7"/>
      <c r="H2" s="7"/>
      <c r="I2" s="7"/>
      <c r="J2" s="7"/>
      <c r="K2" s="7"/>
      <c r="L2" s="7"/>
      <c r="M2" s="7"/>
      <c r="N2" s="7"/>
      <c r="O2" s="7"/>
    </row>
  </sheetData>
  <mergeCells count="1">
    <mergeCell ref="A1: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vt:lpstr>
      <vt:lpstr>Pivot_Analysis</vt:lpstr>
      <vt:lpstr>Top 10 Run Scorers</vt:lpstr>
      <vt:lpstr>Top 10 Batting Average</vt:lpstr>
      <vt:lpstr>Top 10 Highest Individual Score</vt:lpstr>
      <vt:lpstr>Top 10 Century Makers</vt:lpstr>
      <vt:lpstr>Top 10 Half-Century Makers</vt:lpstr>
      <vt:lpstr>Most Ducks</vt:lpstr>
      <vt:lpstr>Matches vs Runs</vt:lpstr>
      <vt:lpstr>100s vs 50s Analysis</vt:lpstr>
      <vt:lpstr>KPI</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laptop</dc:creator>
  <cp:lastModifiedBy>my laptop</cp:lastModifiedBy>
  <dcterms:created xsi:type="dcterms:W3CDTF">2026-09-01T10:55:15Z</dcterms:created>
  <dcterms:modified xsi:type="dcterms:W3CDTF">2026-09-02T07:52:01Z</dcterms:modified>
</cp:coreProperties>
</file>